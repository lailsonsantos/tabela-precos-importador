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e07957bcf8517/Área de Trabalho/"/>
    </mc:Choice>
  </mc:AlternateContent>
  <xr:revisionPtr revIDLastSave="0" documentId="8_{9D4CCAB5-768F-4C56-B453-79B3DA82E964}" xr6:coauthVersionLast="47" xr6:coauthVersionMax="47" xr10:uidLastSave="{00000000-0000-0000-0000-000000000000}"/>
  <bookViews>
    <workbookView xWindow="-120" yWindow="-120" windowWidth="29040" windowHeight="15720" xr2:uid="{180747E5-AA5E-49B7-AC92-807B345A73EF}"/>
  </bookViews>
  <sheets>
    <sheet name="APPLE LACRADO 25-08" sheetId="1" r:id="rId1"/>
    <sheet name="XIAOMI E REALME 25-08" sheetId="2" r:id="rId2"/>
    <sheet name="SEMI NOVOS 25-08" sheetId="6" r:id="rId3"/>
    <sheet name="SAMSUNG E MOTOROLA 25-08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 s="1"/>
  <c r="E8" i="1"/>
  <c r="F8" i="1" s="1"/>
  <c r="G8" i="1" s="1"/>
  <c r="E9" i="1"/>
  <c r="F9" i="1" s="1"/>
  <c r="G9" i="1" s="1"/>
  <c r="E10" i="1"/>
  <c r="F10" i="1"/>
  <c r="G10" i="1"/>
  <c r="E11" i="1"/>
  <c r="F11" i="1" s="1"/>
  <c r="G11" i="1" s="1"/>
  <c r="E12" i="1"/>
  <c r="F12" i="1" s="1"/>
  <c r="G12" i="1" s="1"/>
  <c r="E13" i="1"/>
  <c r="F13" i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/>
  <c r="G17" i="1"/>
  <c r="E18" i="1"/>
  <c r="F18" i="1" s="1"/>
  <c r="G18" i="1" s="1"/>
  <c r="E19" i="1"/>
  <c r="F19" i="1"/>
  <c r="G19" i="1" s="1"/>
  <c r="E20" i="1"/>
  <c r="F20" i="1" s="1"/>
  <c r="G20" i="1" s="1"/>
  <c r="E21" i="1"/>
  <c r="F21" i="1"/>
  <c r="G21" i="1" s="1"/>
  <c r="E22" i="1"/>
  <c r="F22" i="1" s="1"/>
  <c r="G22" i="1" s="1"/>
  <c r="E23" i="1"/>
  <c r="F23" i="1"/>
  <c r="G23" i="1" s="1"/>
  <c r="E24" i="1"/>
  <c r="F24" i="1"/>
  <c r="G24" i="1" s="1"/>
  <c r="E25" i="1"/>
  <c r="F25" i="1" s="1"/>
  <c r="G25" i="1" s="1"/>
  <c r="E26" i="1"/>
  <c r="F26" i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32" i="1"/>
  <c r="F32" i="1"/>
  <c r="G32" i="1" s="1"/>
  <c r="E33" i="1"/>
  <c r="F33" i="1" s="1"/>
  <c r="G33" i="1" s="1"/>
  <c r="E34" i="1"/>
  <c r="F34" i="1" s="1"/>
  <c r="G34" i="1" s="1"/>
  <c r="E35" i="1"/>
  <c r="F35" i="1"/>
  <c r="G35" i="1" s="1"/>
  <c r="E36" i="1"/>
  <c r="F36" i="1" s="1"/>
  <c r="G36" i="1" s="1"/>
  <c r="E37" i="1"/>
  <c r="F37" i="1"/>
  <c r="G37" i="1" s="1"/>
  <c r="E38" i="1"/>
  <c r="F38" i="1"/>
  <c r="G38" i="1" s="1"/>
  <c r="E39" i="1"/>
  <c r="F39" i="1" s="1"/>
  <c r="G39" i="1" s="1"/>
  <c r="E40" i="1"/>
  <c r="F40" i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/>
  <c r="G45" i="1" s="1"/>
  <c r="E46" i="1"/>
  <c r="F46" i="1" s="1"/>
  <c r="G46" i="1" s="1"/>
  <c r="E47" i="1"/>
  <c r="F47" i="1"/>
  <c r="G47" i="1" s="1"/>
  <c r="E48" i="1"/>
  <c r="F48" i="1" s="1"/>
  <c r="G48" i="1" s="1"/>
  <c r="E49" i="1"/>
  <c r="F49" i="1" s="1"/>
  <c r="G49" i="1" s="1"/>
  <c r="E50" i="1"/>
  <c r="F50" i="1" s="1"/>
  <c r="G50" i="1" s="1"/>
  <c r="E51" i="1"/>
  <c r="F51" i="1"/>
  <c r="G51" i="1" s="1"/>
  <c r="E52" i="1"/>
  <c r="F52" i="1" s="1"/>
  <c r="G52" i="1" s="1"/>
  <c r="E53" i="1"/>
  <c r="F53" i="1"/>
  <c r="G53" i="1" s="1"/>
  <c r="E54" i="1"/>
  <c r="F54" i="1"/>
  <c r="G54" i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/>
  <c r="G63" i="1" s="1"/>
  <c r="E64" i="1"/>
  <c r="F64" i="1"/>
  <c r="G64" i="1" s="1"/>
  <c r="E65" i="1"/>
  <c r="F65" i="1" s="1"/>
  <c r="G65" i="1" s="1"/>
  <c r="E66" i="1"/>
  <c r="F66" i="1" s="1"/>
  <c r="G66" i="1" s="1"/>
  <c r="E67" i="1"/>
  <c r="F67" i="1"/>
  <c r="G67" i="1" s="1"/>
  <c r="E68" i="1"/>
  <c r="F68" i="1"/>
  <c r="G68" i="1" s="1"/>
  <c r="E69" i="1"/>
  <c r="F69" i="1"/>
  <c r="G69" i="1" s="1"/>
  <c r="E70" i="1"/>
  <c r="F70" i="1" s="1"/>
  <c r="G70" i="1" s="1"/>
  <c r="E71" i="1"/>
  <c r="F71" i="1" s="1"/>
  <c r="G71" i="1" s="1"/>
  <c r="E72" i="1"/>
  <c r="F72" i="1"/>
  <c r="G72" i="1" s="1"/>
  <c r="E73" i="1"/>
  <c r="F73" i="1"/>
  <c r="G73" i="1"/>
  <c r="E74" i="1"/>
  <c r="F74" i="1" s="1"/>
  <c r="G74" i="1" s="1"/>
  <c r="E75" i="1"/>
  <c r="F75" i="1"/>
  <c r="G75" i="1" s="1"/>
  <c r="E76" i="1"/>
  <c r="F76" i="1"/>
  <c r="G76" i="1" s="1"/>
  <c r="E77" i="1"/>
  <c r="F77" i="1" s="1"/>
  <c r="G77" i="1" s="1"/>
  <c r="E78" i="1"/>
  <c r="F78" i="1"/>
  <c r="G78" i="1" s="1"/>
  <c r="E79" i="1"/>
  <c r="F79" i="1" s="1"/>
  <c r="G79" i="1" s="1"/>
  <c r="E80" i="1"/>
  <c r="F80" i="1"/>
  <c r="G80" i="1" s="1"/>
  <c r="E81" i="1"/>
  <c r="F81" i="1" s="1"/>
  <c r="G81" i="1" s="1"/>
  <c r="E82" i="1"/>
  <c r="F82" i="1"/>
  <c r="G82" i="1" s="1"/>
  <c r="E83" i="1"/>
  <c r="F83" i="1"/>
  <c r="G83" i="1"/>
  <c r="E84" i="1"/>
  <c r="F84" i="1" s="1"/>
  <c r="G84" i="1" s="1"/>
  <c r="E85" i="1"/>
  <c r="F85" i="1"/>
  <c r="G85" i="1"/>
  <c r="E86" i="1"/>
  <c r="F86" i="1" s="1"/>
  <c r="G86" i="1" s="1"/>
  <c r="E87" i="1"/>
  <c r="F87" i="1"/>
  <c r="G87" i="1" s="1"/>
  <c r="E88" i="1"/>
  <c r="F88" i="1"/>
  <c r="G88" i="1" s="1"/>
  <c r="E89" i="1"/>
  <c r="F89" i="1" s="1"/>
  <c r="G89" i="1" s="1"/>
  <c r="E90" i="1"/>
  <c r="F90" i="1"/>
  <c r="G90" i="1" s="1"/>
  <c r="E91" i="1"/>
  <c r="F91" i="1"/>
  <c r="G91" i="1" s="1"/>
  <c r="E92" i="1"/>
  <c r="F92" i="1" s="1"/>
  <c r="G92" i="1" s="1"/>
  <c r="E93" i="1"/>
  <c r="F93" i="1" s="1"/>
  <c r="G93" i="1" s="1"/>
  <c r="E94" i="1"/>
  <c r="F94" i="1" s="1"/>
  <c r="G94" i="1" s="1"/>
  <c r="E95" i="1"/>
  <c r="F95" i="1"/>
  <c r="G95" i="1" s="1"/>
  <c r="E96" i="1"/>
  <c r="F96" i="1" s="1"/>
  <c r="G96" i="1" s="1"/>
  <c r="E97" i="1"/>
  <c r="F97" i="1" s="1"/>
  <c r="G97" i="1" s="1"/>
  <c r="E98" i="1"/>
  <c r="F98" i="1" s="1"/>
  <c r="G98" i="1" s="1"/>
  <c r="E99" i="1"/>
  <c r="F99" i="1" s="1"/>
  <c r="G99" i="1" s="1"/>
  <c r="E100" i="1"/>
  <c r="F100" i="1" s="1"/>
  <c r="G100" i="1" s="1"/>
  <c r="E101" i="1"/>
  <c r="F101" i="1"/>
  <c r="G101" i="1" s="1"/>
  <c r="E102" i="1"/>
  <c r="F102" i="1" s="1"/>
  <c r="G102" i="1" s="1"/>
  <c r="E103" i="1"/>
  <c r="F103" i="1"/>
  <c r="G103" i="1" s="1"/>
  <c r="E104" i="1"/>
  <c r="F104" i="1"/>
  <c r="G104" i="1" s="1"/>
  <c r="E105" i="1"/>
  <c r="F105" i="1"/>
  <c r="G105" i="1" s="1"/>
  <c r="E106" i="1"/>
  <c r="F106" i="1" s="1"/>
  <c r="G106" i="1" s="1"/>
  <c r="E107" i="1"/>
  <c r="F107" i="1" s="1"/>
  <c r="G107" i="1" s="1"/>
  <c r="E108" i="1"/>
  <c r="F108" i="1"/>
  <c r="G108" i="1" s="1"/>
  <c r="E109" i="1"/>
  <c r="F109" i="1"/>
  <c r="G109" i="1" s="1"/>
  <c r="E110" i="1"/>
  <c r="F110" i="1"/>
  <c r="G110" i="1" s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 s="1"/>
  <c r="G160" i="1" s="1"/>
  <c r="E161" i="1"/>
  <c r="F161" i="1" s="1"/>
  <c r="G161" i="1" s="1"/>
  <c r="E162" i="1"/>
  <c r="F162" i="1"/>
  <c r="G162" i="1" s="1"/>
  <c r="E163" i="1"/>
  <c r="F163" i="1" s="1"/>
  <c r="G163" i="1" s="1"/>
  <c r="E164" i="1"/>
  <c r="F164" i="1" s="1"/>
  <c r="G164" i="1" s="1"/>
  <c r="E165" i="1"/>
  <c r="F165" i="1"/>
  <c r="G165" i="1" s="1"/>
  <c r="E166" i="1"/>
  <c r="F166" i="1" s="1"/>
  <c r="G166" i="1" s="1"/>
  <c r="E167" i="1"/>
  <c r="F167" i="1"/>
  <c r="G167" i="1" s="1"/>
  <c r="E168" i="1"/>
  <c r="F168" i="1" s="1"/>
  <c r="G168" i="1" s="1"/>
  <c r="E169" i="1"/>
  <c r="F169" i="1" s="1"/>
  <c r="G169" i="1" s="1"/>
  <c r="E170" i="1"/>
  <c r="F170" i="1" s="1"/>
  <c r="G170" i="1" s="1"/>
  <c r="E171" i="1"/>
  <c r="F171" i="1"/>
  <c r="G171" i="1" s="1"/>
  <c r="E172" i="1"/>
  <c r="F172" i="1" s="1"/>
  <c r="G172" i="1" s="1"/>
  <c r="E173" i="1"/>
  <c r="F173" i="1"/>
  <c r="G173" i="1" s="1"/>
  <c r="E174" i="1"/>
  <c r="F174" i="1" s="1"/>
  <c r="G174" i="1" s="1"/>
  <c r="E175" i="1"/>
  <c r="F175" i="1" s="1"/>
  <c r="G175" i="1" s="1"/>
  <c r="E176" i="1"/>
  <c r="F176" i="1"/>
  <c r="G176" i="1"/>
  <c r="E177" i="1"/>
  <c r="F177" i="1" s="1"/>
  <c r="G177" i="1" s="1"/>
  <c r="E178" i="1"/>
  <c r="F178" i="1" s="1"/>
  <c r="G178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83" i="1"/>
  <c r="F183" i="1" s="1"/>
  <c r="G183" i="1" s="1"/>
  <c r="E184" i="1"/>
  <c r="F184" i="1"/>
  <c r="G184" i="1"/>
  <c r="E185" i="1"/>
  <c r="F185" i="1"/>
  <c r="G185" i="1" s="1"/>
  <c r="E186" i="1"/>
  <c r="F186" i="1"/>
  <c r="G186" i="1" s="1"/>
  <c r="E187" i="1"/>
  <c r="F187" i="1"/>
  <c r="G187" i="1" s="1"/>
  <c r="E188" i="1"/>
  <c r="F188" i="1"/>
  <c r="G188" i="1" s="1"/>
  <c r="E189" i="1"/>
  <c r="F189" i="1"/>
  <c r="G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/>
  <c r="G193" i="1" s="1"/>
  <c r="E194" i="1"/>
  <c r="F194" i="1"/>
  <c r="G194" i="1" s="1"/>
  <c r="E195" i="1"/>
  <c r="F195" i="1" s="1"/>
  <c r="G195" i="1" s="1"/>
  <c r="E196" i="1"/>
  <c r="F196" i="1"/>
  <c r="G196" i="1" s="1"/>
  <c r="E197" i="1"/>
  <c r="F197" i="1"/>
  <c r="G197" i="1" s="1"/>
  <c r="E198" i="1"/>
  <c r="F198" i="1" s="1"/>
  <c r="G198" i="1" s="1"/>
  <c r="E199" i="1"/>
  <c r="F199" i="1" s="1"/>
  <c r="G199" i="1" s="1"/>
  <c r="E200" i="1"/>
  <c r="F200" i="1"/>
  <c r="G200" i="1" s="1"/>
  <c r="E201" i="1"/>
  <c r="F201" i="1" s="1"/>
  <c r="G201" i="1" s="1"/>
  <c r="E202" i="1"/>
  <c r="F202" i="1"/>
  <c r="G202" i="1"/>
  <c r="E203" i="1"/>
  <c r="F203" i="1" s="1"/>
  <c r="G203" i="1" s="1"/>
  <c r="E204" i="1"/>
  <c r="F204" i="1" s="1"/>
  <c r="G204" i="1" s="1"/>
  <c r="E205" i="1"/>
  <c r="F205" i="1"/>
  <c r="G205" i="1"/>
  <c r="E206" i="1"/>
  <c r="F206" i="1"/>
  <c r="G206" i="1" s="1"/>
  <c r="E207" i="1"/>
  <c r="F207" i="1" s="1"/>
  <c r="G207" i="1" s="1"/>
  <c r="E208" i="1"/>
  <c r="F208" i="1" s="1"/>
  <c r="G208" i="1" s="1"/>
  <c r="E209" i="1"/>
  <c r="F209" i="1" s="1"/>
  <c r="G209" i="1" s="1"/>
  <c r="E210" i="1"/>
  <c r="F210" i="1" s="1"/>
  <c r="G210" i="1" s="1"/>
  <c r="E211" i="1"/>
  <c r="F211" i="1" s="1"/>
  <c r="G211" i="1" s="1"/>
  <c r="E212" i="1"/>
  <c r="F212" i="1"/>
  <c r="G212" i="1" s="1"/>
  <c r="E213" i="1"/>
  <c r="F213" i="1" s="1"/>
  <c r="G213" i="1" s="1"/>
  <c r="E214" i="1"/>
  <c r="F214" i="1"/>
  <c r="G214" i="1" s="1"/>
  <c r="E215" i="1"/>
  <c r="F215" i="1"/>
  <c r="G215" i="1" s="1"/>
  <c r="E216" i="1"/>
  <c r="F216" i="1"/>
  <c r="G216" i="1" s="1"/>
  <c r="E217" i="1"/>
  <c r="F217" i="1" s="1"/>
  <c r="G217" i="1" s="1"/>
  <c r="E218" i="1"/>
  <c r="F218" i="1" s="1"/>
  <c r="G218" i="1" s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G2" i="1"/>
  <c r="F2" i="1"/>
  <c r="E2" i="1"/>
  <c r="E3" i="2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 s="1"/>
  <c r="G25" i="2" s="1"/>
  <c r="E26" i="2"/>
  <c r="F26" i="2"/>
  <c r="G26" i="2" s="1"/>
  <c r="E27" i="2"/>
  <c r="F27" i="2"/>
  <c r="G27" i="2"/>
  <c r="E28" i="2"/>
  <c r="F28" i="2"/>
  <c r="G28" i="2"/>
  <c r="E29" i="2"/>
  <c r="F29" i="2" s="1"/>
  <c r="G29" i="2" s="1"/>
  <c r="E30" i="2"/>
  <c r="F30" i="2" s="1"/>
  <c r="G30" i="2" s="1"/>
  <c r="E31" i="2"/>
  <c r="F31" i="2"/>
  <c r="G31" i="2" s="1"/>
  <c r="E32" i="2"/>
  <c r="F32" i="2"/>
  <c r="G32" i="2"/>
  <c r="E33" i="2"/>
  <c r="F33" i="2"/>
  <c r="G33" i="2"/>
  <c r="E34" i="2"/>
  <c r="F34" i="2" s="1"/>
  <c r="G34" i="2" s="1"/>
  <c r="E35" i="2"/>
  <c r="F35" i="2"/>
  <c r="G35" i="2" s="1"/>
  <c r="E36" i="2"/>
  <c r="F36" i="2" s="1"/>
  <c r="G36" i="2" s="1"/>
  <c r="E37" i="2"/>
  <c r="F37" i="2"/>
  <c r="G37" i="2" s="1"/>
  <c r="E38" i="2"/>
  <c r="F38" i="2" s="1"/>
  <c r="G38" i="2" s="1"/>
  <c r="E39" i="2"/>
  <c r="F39" i="2" s="1"/>
  <c r="G39" i="2" s="1"/>
  <c r="E40" i="2"/>
  <c r="F40" i="2" s="1"/>
  <c r="G40" i="2" s="1"/>
  <c r="E41" i="2"/>
  <c r="F41" i="2" s="1"/>
  <c r="G41" i="2" s="1"/>
  <c r="E42" i="2"/>
  <c r="F42" i="2"/>
  <c r="G42" i="2" s="1"/>
  <c r="E43" i="2"/>
  <c r="F43" i="2" s="1"/>
  <c r="G43" i="2" s="1"/>
  <c r="E44" i="2"/>
  <c r="F44" i="2" s="1"/>
  <c r="G44" i="2" s="1"/>
  <c r="E45" i="2"/>
  <c r="F45" i="2" s="1"/>
  <c r="G45" i="2" s="1"/>
  <c r="E46" i="2"/>
  <c r="F46" i="2" s="1"/>
  <c r="G46" i="2" s="1"/>
  <c r="E47" i="2"/>
  <c r="F47" i="2" s="1"/>
  <c r="G47" i="2" s="1"/>
  <c r="E48" i="2"/>
  <c r="F48" i="2" s="1"/>
  <c r="G48" i="2" s="1"/>
  <c r="E49" i="2"/>
  <c r="F49" i="2" s="1"/>
  <c r="G49" i="2" s="1"/>
  <c r="E50" i="2"/>
  <c r="F50" i="2" s="1"/>
  <c r="G50" i="2" s="1"/>
  <c r="E51" i="2"/>
  <c r="F51" i="2"/>
  <c r="G51" i="2" s="1"/>
  <c r="E52" i="2"/>
  <c r="F52" i="2" s="1"/>
  <c r="G52" i="2" s="1"/>
  <c r="E53" i="2"/>
  <c r="F53" i="2" s="1"/>
  <c r="G53" i="2" s="1"/>
  <c r="E54" i="2"/>
  <c r="F54" i="2" s="1"/>
  <c r="G54" i="2" s="1"/>
  <c r="E55" i="2"/>
  <c r="F55" i="2" s="1"/>
  <c r="G55" i="2" s="1"/>
  <c r="E56" i="2"/>
  <c r="F56" i="2"/>
  <c r="G56" i="2" s="1"/>
  <c r="E57" i="2"/>
  <c r="F57" i="2"/>
  <c r="G57" i="2" s="1"/>
  <c r="E58" i="2"/>
  <c r="F58" i="2" s="1"/>
  <c r="G58" i="2" s="1"/>
  <c r="E59" i="2"/>
  <c r="F59" i="2" s="1"/>
  <c r="G59" i="2" s="1"/>
  <c r="E60" i="2"/>
  <c r="F60" i="2" s="1"/>
  <c r="G60" i="2" s="1"/>
  <c r="E61" i="2"/>
  <c r="F61" i="2"/>
  <c r="G61" i="2" s="1"/>
  <c r="E62" i="2"/>
  <c r="F62" i="2" s="1"/>
  <c r="G62" i="2" s="1"/>
  <c r="E63" i="2"/>
  <c r="F63" i="2"/>
  <c r="G63" i="2" s="1"/>
  <c r="E64" i="2"/>
  <c r="F64" i="2" s="1"/>
  <c r="G64" i="2" s="1"/>
  <c r="E65" i="2"/>
  <c r="F65" i="2" s="1"/>
  <c r="G65" i="2" s="1"/>
  <c r="E66" i="2"/>
  <c r="F66" i="2" s="1"/>
  <c r="G66" i="2" s="1"/>
  <c r="E67" i="2"/>
  <c r="F67" i="2" s="1"/>
  <c r="G67" i="2" s="1"/>
  <c r="E68" i="2"/>
  <c r="F68" i="2"/>
  <c r="G68" i="2" s="1"/>
  <c r="E69" i="2"/>
  <c r="F69" i="2" s="1"/>
  <c r="G69" i="2" s="1"/>
  <c r="E70" i="2"/>
  <c r="F70" i="2" s="1"/>
  <c r="G70" i="2" s="1"/>
  <c r="E71" i="2"/>
  <c r="F71" i="2" s="1"/>
  <c r="G71" i="2" s="1"/>
  <c r="E72" i="2"/>
  <c r="F72" i="2" s="1"/>
  <c r="G72" i="2" s="1"/>
  <c r="E73" i="2"/>
  <c r="F73" i="2" s="1"/>
  <c r="G73" i="2" s="1"/>
  <c r="E74" i="2"/>
  <c r="F74" i="2" s="1"/>
  <c r="G74" i="2" s="1"/>
  <c r="E75" i="2"/>
  <c r="F75" i="2"/>
  <c r="G75" i="2" s="1"/>
  <c r="E76" i="2"/>
  <c r="F76" i="2"/>
  <c r="G76" i="2" s="1"/>
  <c r="E77" i="2"/>
  <c r="F77" i="2" s="1"/>
  <c r="G77" i="2" s="1"/>
  <c r="E78" i="2"/>
  <c r="F78" i="2" s="1"/>
  <c r="G78" i="2" s="1"/>
  <c r="E79" i="2"/>
  <c r="F79" i="2"/>
  <c r="G79" i="2" s="1"/>
  <c r="E80" i="2"/>
  <c r="F80" i="2" s="1"/>
  <c r="G80" i="2" s="1"/>
  <c r="E81" i="2"/>
  <c r="F81" i="2" s="1"/>
  <c r="G81" i="2" s="1"/>
  <c r="E82" i="2"/>
  <c r="F82" i="2" s="1"/>
  <c r="G82" i="2" s="1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 s="1"/>
  <c r="E139" i="2"/>
  <c r="F139" i="2" s="1"/>
  <c r="G139" i="2" s="1"/>
  <c r="E140" i="2"/>
  <c r="F140" i="2" s="1"/>
  <c r="G140" i="2" s="1"/>
  <c r="E141" i="2"/>
  <c r="F141" i="2" s="1"/>
  <c r="G141" i="2" s="1"/>
  <c r="E142" i="2"/>
  <c r="F142" i="2" s="1"/>
  <c r="G142" i="2" s="1"/>
  <c r="E143" i="2"/>
  <c r="F143" i="2"/>
  <c r="G143" i="2" s="1"/>
  <c r="E144" i="2"/>
  <c r="F144" i="2"/>
  <c r="G144" i="2"/>
  <c r="E145" i="2"/>
  <c r="F145" i="2" s="1"/>
  <c r="G145" i="2" s="1"/>
  <c r="E146" i="2"/>
  <c r="F146" i="2" s="1"/>
  <c r="G146" i="2" s="1"/>
  <c r="E147" i="2"/>
  <c r="F147" i="2" s="1"/>
  <c r="G147" i="2" s="1"/>
  <c r="E148" i="2"/>
  <c r="F148" i="2" s="1"/>
  <c r="G148" i="2" s="1"/>
  <c r="E149" i="2"/>
  <c r="F149" i="2" s="1"/>
  <c r="G149" i="2" s="1"/>
  <c r="E150" i="2"/>
  <c r="F150" i="2" s="1"/>
  <c r="G150" i="2" s="1"/>
  <c r="E151" i="2"/>
  <c r="F151" i="2" s="1"/>
  <c r="G151" i="2" s="1"/>
  <c r="E152" i="2"/>
  <c r="F152" i="2"/>
  <c r="G152" i="2"/>
  <c r="E153" i="2"/>
  <c r="F153" i="2"/>
  <c r="G153" i="2" s="1"/>
  <c r="E154" i="2"/>
  <c r="F154" i="2"/>
  <c r="G154" i="2" s="1"/>
  <c r="E155" i="2"/>
  <c r="F155" i="2" s="1"/>
  <c r="G155" i="2" s="1"/>
  <c r="E156" i="2"/>
  <c r="F156" i="2"/>
  <c r="G156" i="2" s="1"/>
  <c r="E157" i="2"/>
  <c r="F157" i="2"/>
  <c r="G157" i="2" s="1"/>
  <c r="E158" i="2"/>
  <c r="F158" i="2"/>
  <c r="G158" i="2"/>
  <c r="E159" i="2"/>
  <c r="F159" i="2"/>
  <c r="G159" i="2" s="1"/>
  <c r="E160" i="2"/>
  <c r="F160" i="2"/>
  <c r="G160" i="2" s="1"/>
  <c r="E161" i="2"/>
  <c r="F161" i="2" s="1"/>
  <c r="G161" i="2" s="1"/>
  <c r="E162" i="2"/>
  <c r="F162" i="2" s="1"/>
  <c r="G162" i="2" s="1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 s="1"/>
  <c r="G239" i="2" s="1"/>
  <c r="E240" i="2"/>
  <c r="F240" i="2"/>
  <c r="G240" i="2" s="1"/>
  <c r="E241" i="2"/>
  <c r="F241" i="2" s="1"/>
  <c r="G241" i="2" s="1"/>
  <c r="E242" i="2"/>
  <c r="F242" i="2" s="1"/>
  <c r="G242" i="2" s="1"/>
  <c r="E243" i="2"/>
  <c r="F243" i="2" s="1"/>
  <c r="G243" i="2" s="1"/>
  <c r="E244" i="2"/>
  <c r="F244" i="2"/>
  <c r="G244" i="2" s="1"/>
  <c r="E245" i="2"/>
  <c r="F245" i="2" s="1"/>
  <c r="G245" i="2" s="1"/>
  <c r="E246" i="2"/>
  <c r="F246" i="2"/>
  <c r="G246" i="2" s="1"/>
  <c r="E247" i="2"/>
  <c r="F247" i="2" s="1"/>
  <c r="G247" i="2" s="1"/>
  <c r="E248" i="2"/>
  <c r="F248" i="2"/>
  <c r="G248" i="2"/>
  <c r="E249" i="2"/>
  <c r="F249" i="2"/>
  <c r="G249" i="2" s="1"/>
  <c r="E250" i="2"/>
  <c r="F250" i="2" s="1"/>
  <c r="G250" i="2" s="1"/>
  <c r="E251" i="2"/>
  <c r="F251" i="2" s="1"/>
  <c r="G251" i="2" s="1"/>
  <c r="E252" i="2"/>
  <c r="F252" i="2"/>
  <c r="G252" i="2" s="1"/>
  <c r="E253" i="2"/>
  <c r="F253" i="2"/>
  <c r="G253" i="2" s="1"/>
  <c r="E254" i="2"/>
  <c r="F254" i="2" s="1"/>
  <c r="G254" i="2" s="1"/>
  <c r="E255" i="2"/>
  <c r="F255" i="2" s="1"/>
  <c r="G255" i="2" s="1"/>
  <c r="E256" i="2"/>
  <c r="F256" i="2"/>
  <c r="G256" i="2" s="1"/>
  <c r="E257" i="2"/>
  <c r="F257" i="2" s="1"/>
  <c r="G257" i="2" s="1"/>
  <c r="E258" i="2"/>
  <c r="F258" i="2"/>
  <c r="G258" i="2" s="1"/>
  <c r="E259" i="2"/>
  <c r="F259" i="2" s="1"/>
  <c r="G259" i="2" s="1"/>
  <c r="E260" i="2"/>
  <c r="F260" i="2" s="1"/>
  <c r="G260" i="2" s="1"/>
  <c r="E261" i="2"/>
  <c r="F261" i="2" s="1"/>
  <c r="G261" i="2" s="1"/>
  <c r="E262" i="2"/>
  <c r="F262" i="2" s="1"/>
  <c r="G262" i="2" s="1"/>
  <c r="E263" i="2"/>
  <c r="F263" i="2"/>
  <c r="G263" i="2" s="1"/>
  <c r="E264" i="2"/>
  <c r="F264" i="2" s="1"/>
  <c r="G264" i="2" s="1"/>
  <c r="E265" i="2"/>
  <c r="F265" i="2" s="1"/>
  <c r="G265" i="2" s="1"/>
  <c r="E266" i="2"/>
  <c r="F266" i="2"/>
  <c r="G266" i="2" s="1"/>
  <c r="E267" i="2"/>
  <c r="F267" i="2" s="1"/>
  <c r="G267" i="2" s="1"/>
  <c r="E268" i="2"/>
  <c r="F268" i="2"/>
  <c r="G268" i="2"/>
  <c r="E269" i="2"/>
  <c r="F269" i="2" s="1"/>
  <c r="G269" i="2" s="1"/>
  <c r="E270" i="2"/>
  <c r="F270" i="2"/>
  <c r="G270" i="2" s="1"/>
  <c r="E271" i="2"/>
  <c r="F271" i="2" s="1"/>
  <c r="G271" i="2" s="1"/>
  <c r="E272" i="2"/>
  <c r="F272" i="2"/>
  <c r="G272" i="2"/>
  <c r="E273" i="2"/>
  <c r="F273" i="2" s="1"/>
  <c r="G273" i="2" s="1"/>
  <c r="E274" i="2"/>
  <c r="F274" i="2"/>
  <c r="G274" i="2" s="1"/>
  <c r="E275" i="2"/>
  <c r="F275" i="2"/>
  <c r="G275" i="2"/>
  <c r="E276" i="2"/>
  <c r="F276" i="2"/>
  <c r="G276" i="2"/>
  <c r="E277" i="2"/>
  <c r="F277" i="2"/>
  <c r="G277" i="2" s="1"/>
  <c r="E278" i="2"/>
  <c r="F278" i="2"/>
  <c r="G278" i="2"/>
  <c r="E279" i="2"/>
  <c r="F279" i="2"/>
  <c r="G279" i="2" s="1"/>
  <c r="E280" i="2"/>
  <c r="F280" i="2"/>
  <c r="G280" i="2"/>
  <c r="E281" i="2"/>
  <c r="F281" i="2" s="1"/>
  <c r="G281" i="2" s="1"/>
  <c r="E282" i="2"/>
  <c r="F282" i="2" s="1"/>
  <c r="G282" i="2" s="1"/>
  <c r="E283" i="2"/>
  <c r="F283" i="2" s="1"/>
  <c r="G283" i="2" s="1"/>
  <c r="E284" i="2"/>
  <c r="F284" i="2"/>
  <c r="G284" i="2" s="1"/>
  <c r="E285" i="2"/>
  <c r="F285" i="2"/>
  <c r="G285" i="2"/>
  <c r="E286" i="2"/>
  <c r="F286" i="2"/>
  <c r="G286" i="2" s="1"/>
  <c r="E287" i="2"/>
  <c r="F287" i="2" s="1"/>
  <c r="G287" i="2" s="1"/>
  <c r="E288" i="2"/>
  <c r="F288" i="2" s="1"/>
  <c r="G288" i="2" s="1"/>
  <c r="E289" i="2"/>
  <c r="F289" i="2" s="1"/>
  <c r="G289" i="2" s="1"/>
  <c r="E290" i="2"/>
  <c r="F290" i="2"/>
  <c r="G290" i="2" s="1"/>
  <c r="E291" i="2"/>
  <c r="F291" i="2"/>
  <c r="G291" i="2" s="1"/>
  <c r="E292" i="2"/>
  <c r="F292" i="2" s="1"/>
  <c r="G292" i="2" s="1"/>
  <c r="E293" i="2"/>
  <c r="F293" i="2"/>
  <c r="G293" i="2" s="1"/>
  <c r="E294" i="2"/>
  <c r="F294" i="2" s="1"/>
  <c r="G294" i="2" s="1"/>
  <c r="E295" i="2"/>
  <c r="F295" i="2"/>
  <c r="G295" i="2"/>
  <c r="E296" i="2"/>
  <c r="F296" i="2" s="1"/>
  <c r="G296" i="2" s="1"/>
  <c r="E297" i="2"/>
  <c r="F297" i="2"/>
  <c r="G297" i="2" s="1"/>
  <c r="E298" i="2"/>
  <c r="F298" i="2" s="1"/>
  <c r="G298" i="2" s="1"/>
  <c r="E299" i="2"/>
  <c r="F299" i="2" s="1"/>
  <c r="G299" i="2" s="1"/>
  <c r="E300" i="2"/>
  <c r="F300" i="2"/>
  <c r="G300" i="2" s="1"/>
  <c r="E301" i="2"/>
  <c r="F301" i="2" s="1"/>
  <c r="G301" i="2" s="1"/>
  <c r="E302" i="2"/>
  <c r="F302" i="2" s="1"/>
  <c r="G302" i="2" s="1"/>
  <c r="E303" i="2"/>
  <c r="F303" i="2" s="1"/>
  <c r="G303" i="2" s="1"/>
  <c r="E304" i="2"/>
  <c r="F304" i="2"/>
  <c r="G304" i="2"/>
  <c r="E305" i="2"/>
  <c r="F305" i="2" s="1"/>
  <c r="G305" i="2" s="1"/>
  <c r="E306" i="2"/>
  <c r="F306" i="2"/>
  <c r="G306" i="2" s="1"/>
  <c r="E307" i="2"/>
  <c r="F307" i="2"/>
  <c r="G307" i="2"/>
  <c r="E308" i="2"/>
  <c r="F308" i="2" s="1"/>
  <c r="G308" i="2" s="1"/>
  <c r="E309" i="2"/>
  <c r="F309" i="2" s="1"/>
  <c r="G309" i="2" s="1"/>
  <c r="E310" i="2"/>
  <c r="F310" i="2"/>
  <c r="G310" i="2" s="1"/>
  <c r="E311" i="2"/>
  <c r="F311" i="2"/>
  <c r="G311" i="2"/>
  <c r="E312" i="2"/>
  <c r="F312" i="2"/>
  <c r="G312" i="2"/>
  <c r="E313" i="2"/>
  <c r="F313" i="2" s="1"/>
  <c r="G313" i="2" s="1"/>
  <c r="E314" i="2"/>
  <c r="F314" i="2"/>
  <c r="G314" i="2" s="1"/>
  <c r="E315" i="2"/>
  <c r="F315" i="2"/>
  <c r="G315" i="2" s="1"/>
  <c r="E316" i="2"/>
  <c r="F316" i="2" s="1"/>
  <c r="G316" i="2" s="1"/>
  <c r="E317" i="2"/>
  <c r="F317" i="2" s="1"/>
  <c r="G317" i="2" s="1"/>
  <c r="E318" i="2"/>
  <c r="F318" i="2" s="1"/>
  <c r="G318" i="2" s="1"/>
  <c r="E319" i="2"/>
  <c r="F319" i="2"/>
  <c r="G319" i="2" s="1"/>
  <c r="E320" i="2"/>
  <c r="F320" i="2"/>
  <c r="G320" i="2"/>
  <c r="E321" i="2"/>
  <c r="F321" i="2" s="1"/>
  <c r="G321" i="2" s="1"/>
  <c r="E322" i="2"/>
  <c r="F322" i="2"/>
  <c r="G322" i="2" s="1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 s="1"/>
  <c r="G366" i="2" s="1"/>
  <c r="E367" i="2"/>
  <c r="F367" i="2"/>
  <c r="G367" i="2"/>
  <c r="E368" i="2"/>
  <c r="F368" i="2" s="1"/>
  <c r="G368" i="2" s="1"/>
  <c r="E369" i="2"/>
  <c r="F369" i="2"/>
  <c r="G369" i="2" s="1"/>
  <c r="E370" i="2"/>
  <c r="F370" i="2"/>
  <c r="G370" i="2" s="1"/>
  <c r="E371" i="2"/>
  <c r="F371" i="2"/>
  <c r="G371" i="2" s="1"/>
  <c r="E372" i="2"/>
  <c r="F372" i="2" s="1"/>
  <c r="G372" i="2" s="1"/>
  <c r="E373" i="2"/>
  <c r="F373" i="2"/>
  <c r="G373" i="2"/>
  <c r="E374" i="2"/>
  <c r="F374" i="2"/>
  <c r="G374" i="2" s="1"/>
  <c r="E375" i="2"/>
  <c r="F375" i="2"/>
  <c r="G375" i="2" s="1"/>
  <c r="E376" i="2"/>
  <c r="F376" i="2"/>
  <c r="G376" i="2"/>
  <c r="E377" i="2"/>
  <c r="F377" i="2" s="1"/>
  <c r="G377" i="2" s="1"/>
  <c r="E378" i="2"/>
  <c r="F378" i="2" s="1"/>
  <c r="G378" i="2" s="1"/>
  <c r="E379" i="2"/>
  <c r="F379" i="2" s="1"/>
  <c r="G379" i="2" s="1"/>
  <c r="E380" i="2"/>
  <c r="F380" i="2" s="1"/>
  <c r="G380" i="2" s="1"/>
  <c r="E381" i="2"/>
  <c r="F381" i="2" s="1"/>
  <c r="G381" i="2" s="1"/>
  <c r="E382" i="2"/>
  <c r="F382" i="2"/>
  <c r="G382" i="2" s="1"/>
  <c r="E383" i="2"/>
  <c r="F383" i="2" s="1"/>
  <c r="G383" i="2" s="1"/>
  <c r="E384" i="2"/>
  <c r="F384" i="2" s="1"/>
  <c r="G384" i="2" s="1"/>
  <c r="E385" i="2"/>
  <c r="F385" i="2" s="1"/>
  <c r="G385" i="2" s="1"/>
  <c r="E386" i="2"/>
  <c r="F386" i="2" s="1"/>
  <c r="G386" i="2" s="1"/>
  <c r="E387" i="2"/>
  <c r="F387" i="2"/>
  <c r="G387" i="2" s="1"/>
  <c r="E388" i="2"/>
  <c r="F388" i="2" s="1"/>
  <c r="G388" i="2" s="1"/>
  <c r="E389" i="2"/>
  <c r="F389" i="2" s="1"/>
  <c r="G389" i="2" s="1"/>
  <c r="E390" i="2"/>
  <c r="F390" i="2" s="1"/>
  <c r="G390" i="2" s="1"/>
  <c r="E391" i="2"/>
  <c r="F391" i="2" s="1"/>
  <c r="G391" i="2" s="1"/>
  <c r="E392" i="2"/>
  <c r="F392" i="2"/>
  <c r="G392" i="2" s="1"/>
  <c r="E393" i="2"/>
  <c r="F393" i="2"/>
  <c r="G393" i="2" s="1"/>
  <c r="E394" i="2"/>
  <c r="F394" i="2"/>
  <c r="G394" i="2" s="1"/>
  <c r="E395" i="2"/>
  <c r="F395" i="2"/>
  <c r="G395" i="2" s="1"/>
  <c r="E396" i="2"/>
  <c r="F396" i="2" s="1"/>
  <c r="G396" i="2" s="1"/>
  <c r="E397" i="2"/>
  <c r="F397" i="2" s="1"/>
  <c r="G397" i="2" s="1"/>
  <c r="E398" i="2"/>
  <c r="F398" i="2"/>
  <c r="G398" i="2" s="1"/>
  <c r="E399" i="2"/>
  <c r="F399" i="2"/>
  <c r="G399" i="2"/>
  <c r="E400" i="2"/>
  <c r="F400" i="2" s="1"/>
  <c r="G400" i="2" s="1"/>
  <c r="E401" i="2"/>
  <c r="F401" i="2"/>
  <c r="G401" i="2"/>
  <c r="E402" i="2"/>
  <c r="F402" i="2"/>
  <c r="G402" i="2" s="1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G2" i="2"/>
  <c r="F2" i="2"/>
  <c r="E2" i="2"/>
  <c r="D3" i="6"/>
  <c r="E3" i="6" s="1"/>
  <c r="D4" i="6"/>
  <c r="E4" i="6"/>
  <c r="D5" i="6"/>
  <c r="E5" i="6"/>
  <c r="D6" i="6"/>
  <c r="E6" i="6" s="1"/>
  <c r="D7" i="6"/>
  <c r="E7" i="6"/>
  <c r="D8" i="6"/>
  <c r="E8" i="6" s="1"/>
  <c r="D9" i="6"/>
  <c r="E9" i="6" s="1"/>
  <c r="D10" i="6"/>
  <c r="E10" i="6" s="1"/>
  <c r="D11" i="6"/>
  <c r="E11" i="6"/>
  <c r="D12" i="6"/>
  <c r="E12" i="6" s="1"/>
  <c r="D13" i="6"/>
  <c r="E13" i="6" s="1"/>
  <c r="D14" i="6"/>
  <c r="E14" i="6"/>
  <c r="D15" i="6"/>
  <c r="E15" i="6"/>
  <c r="D16" i="6"/>
  <c r="E16" i="6" s="1"/>
  <c r="D17" i="6"/>
  <c r="E17" i="6"/>
  <c r="D18" i="6"/>
  <c r="E18" i="6" s="1"/>
  <c r="D19" i="6"/>
  <c r="E19" i="6" s="1"/>
  <c r="D20" i="6"/>
  <c r="E20" i="6"/>
  <c r="D21" i="6"/>
  <c r="E21" i="6"/>
  <c r="D22" i="6"/>
  <c r="E22" i="6" s="1"/>
  <c r="D23" i="6"/>
  <c r="E23" i="6"/>
  <c r="D24" i="6"/>
  <c r="E24" i="6"/>
  <c r="D25" i="6"/>
  <c r="E25" i="6" s="1"/>
  <c r="D26" i="6"/>
  <c r="E26" i="6"/>
  <c r="D27" i="6"/>
  <c r="E27" i="6" s="1"/>
  <c r="D28" i="6"/>
  <c r="E28" i="6"/>
  <c r="D29" i="6"/>
  <c r="E29" i="6"/>
  <c r="D30" i="6"/>
  <c r="E30" i="6" s="1"/>
  <c r="D31" i="6"/>
  <c r="E31" i="6"/>
  <c r="D32" i="6"/>
  <c r="E32" i="6" s="1"/>
  <c r="D33" i="6"/>
  <c r="E33" i="6" s="1"/>
  <c r="D34" i="6"/>
  <c r="E34" i="6"/>
  <c r="D35" i="6"/>
  <c r="E35" i="6" s="1"/>
  <c r="D36" i="6"/>
  <c r="E36" i="6" s="1"/>
  <c r="D37" i="6"/>
  <c r="E37" i="6"/>
  <c r="D38" i="6"/>
  <c r="E38" i="6"/>
  <c r="D39" i="6"/>
  <c r="E39" i="6"/>
  <c r="D40" i="6"/>
  <c r="E40" i="6" s="1"/>
  <c r="D41" i="6"/>
  <c r="E41" i="6" s="1"/>
  <c r="D42" i="6"/>
  <c r="E42" i="6"/>
  <c r="D43" i="6"/>
  <c r="E43" i="6" s="1"/>
  <c r="D44" i="6"/>
  <c r="E44" i="6" s="1"/>
  <c r="D45" i="6"/>
  <c r="E45" i="6"/>
  <c r="D46" i="6"/>
  <c r="E46" i="6" s="1"/>
  <c r="D47" i="6"/>
  <c r="E47" i="6" s="1"/>
  <c r="D48" i="6"/>
  <c r="E48" i="6"/>
  <c r="D49" i="6"/>
  <c r="E49" i="6" s="1"/>
  <c r="D50" i="6"/>
  <c r="E50" i="6" s="1"/>
  <c r="D51" i="6"/>
  <c r="E51" i="6"/>
  <c r="D52" i="6"/>
  <c r="E52" i="6" s="1"/>
  <c r="D53" i="6"/>
  <c r="E53" i="6" s="1"/>
  <c r="D54" i="6"/>
  <c r="E54" i="6"/>
  <c r="D55" i="6"/>
  <c r="E55" i="6" s="1"/>
  <c r="D56" i="6"/>
  <c r="E56" i="6"/>
  <c r="D57" i="6"/>
  <c r="E57" i="6" s="1"/>
  <c r="D58" i="6"/>
  <c r="E58" i="6"/>
  <c r="D59" i="6"/>
  <c r="E59" i="6"/>
  <c r="D60" i="6"/>
  <c r="E60" i="6"/>
  <c r="D61" i="6"/>
  <c r="E61" i="6" s="1"/>
  <c r="D62" i="6"/>
  <c r="E62" i="6"/>
  <c r="D63" i="6"/>
  <c r="E63" i="6" s="1"/>
  <c r="D64" i="6"/>
  <c r="E64" i="6"/>
  <c r="D65" i="6"/>
  <c r="E65" i="6"/>
  <c r="D66" i="6"/>
  <c r="E66" i="6"/>
  <c r="D67" i="6"/>
  <c r="E67" i="6" s="1"/>
  <c r="D68" i="6"/>
  <c r="E68" i="6"/>
  <c r="D69" i="6"/>
  <c r="E69" i="6" s="1"/>
  <c r="D70" i="6"/>
  <c r="E70" i="6"/>
  <c r="D71" i="6"/>
  <c r="E71" i="6" s="1"/>
  <c r="D72" i="6"/>
  <c r="E72" i="6"/>
  <c r="D73" i="6"/>
  <c r="E73" i="6" s="1"/>
  <c r="D74" i="6"/>
  <c r="E74" i="6" s="1"/>
  <c r="D75" i="6"/>
  <c r="E75" i="6" s="1"/>
  <c r="D76" i="6"/>
  <c r="E76" i="6" s="1"/>
  <c r="D77" i="6"/>
  <c r="E77" i="6"/>
  <c r="D78" i="6"/>
  <c r="E78" i="6"/>
  <c r="D79" i="6"/>
  <c r="E79" i="6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/>
  <c r="D86" i="6"/>
  <c r="E86" i="6"/>
  <c r="D87" i="6"/>
  <c r="E87" i="6"/>
  <c r="D88" i="6"/>
  <c r="E88" i="6"/>
  <c r="D89" i="6"/>
  <c r="E89" i="6"/>
  <c r="D90" i="6"/>
  <c r="E90" i="6"/>
  <c r="D91" i="6"/>
  <c r="E91" i="6"/>
  <c r="D92" i="6"/>
  <c r="E92" i="6"/>
  <c r="D93" i="6"/>
  <c r="E93" i="6"/>
  <c r="D94" i="6"/>
  <c r="E94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108" i="6"/>
  <c r="E108" i="6"/>
  <c r="D109" i="6"/>
  <c r="E109" i="6"/>
  <c r="D110" i="6"/>
  <c r="E110" i="6"/>
  <c r="D111" i="6"/>
  <c r="E111" i="6"/>
  <c r="D112" i="6"/>
  <c r="E112" i="6"/>
  <c r="D113" i="6"/>
  <c r="E113" i="6"/>
  <c r="D114" i="6"/>
  <c r="E114" i="6"/>
  <c r="D115" i="6"/>
  <c r="E115" i="6"/>
  <c r="D116" i="6"/>
  <c r="E116" i="6"/>
  <c r="D117" i="6"/>
  <c r="E117" i="6"/>
  <c r="D118" i="6"/>
  <c r="E118" i="6"/>
  <c r="D119" i="6"/>
  <c r="E119" i="6"/>
  <c r="D120" i="6"/>
  <c r="E120" i="6"/>
  <c r="D121" i="6"/>
  <c r="E121" i="6"/>
  <c r="D122" i="6"/>
  <c r="E122" i="6"/>
  <c r="D123" i="6"/>
  <c r="E123" i="6"/>
  <c r="D124" i="6"/>
  <c r="E124" i="6"/>
  <c r="D125" i="6"/>
  <c r="E125" i="6"/>
  <c r="D126" i="6"/>
  <c r="E126" i="6"/>
  <c r="D127" i="6"/>
  <c r="E127" i="6" s="1"/>
  <c r="D128" i="6"/>
  <c r="E128" i="6"/>
  <c r="D129" i="6"/>
  <c r="E129" i="6"/>
  <c r="D130" i="6"/>
  <c r="E130" i="6"/>
  <c r="D131" i="6"/>
  <c r="E131" i="6"/>
  <c r="D132" i="6"/>
  <c r="E132" i="6"/>
  <c r="D133" i="6"/>
  <c r="E133" i="6"/>
  <c r="D134" i="6"/>
  <c r="E134" i="6"/>
  <c r="D135" i="6"/>
  <c r="E135" i="6"/>
  <c r="D136" i="6"/>
  <c r="E136" i="6"/>
  <c r="E2" i="6"/>
  <c r="D2" i="6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8" i="5"/>
  <c r="F8" i="5"/>
  <c r="G8" i="5"/>
  <c r="E9" i="5"/>
  <c r="F9" i="5" s="1"/>
  <c r="G9" i="5" s="1"/>
  <c r="E10" i="5"/>
  <c r="F10" i="5" s="1"/>
  <c r="G10" i="5" s="1"/>
  <c r="E11" i="5"/>
  <c r="F11" i="5"/>
  <c r="G11" i="5" s="1"/>
  <c r="E12" i="5"/>
  <c r="F12" i="5" s="1"/>
  <c r="G12" i="5" s="1"/>
  <c r="E13" i="5"/>
  <c r="F13" i="5"/>
  <c r="G13" i="5" s="1"/>
  <c r="E14" i="5"/>
  <c r="F14" i="5" s="1"/>
  <c r="G14" i="5" s="1"/>
  <c r="E15" i="5"/>
  <c r="F15" i="5" s="1"/>
  <c r="G15" i="5" s="1"/>
  <c r="E16" i="5"/>
  <c r="F16" i="5"/>
  <c r="G16" i="5" s="1"/>
  <c r="E17" i="5"/>
  <c r="F17" i="5" s="1"/>
  <c r="G17" i="5" s="1"/>
  <c r="E18" i="5"/>
  <c r="F18" i="5"/>
  <c r="G18" i="5" s="1"/>
  <c r="E19" i="5"/>
  <c r="F19" i="5" s="1"/>
  <c r="G19" i="5" s="1"/>
  <c r="E20" i="5"/>
  <c r="F20" i="5"/>
  <c r="G20" i="5"/>
  <c r="E21" i="5"/>
  <c r="F21" i="5"/>
  <c r="G21" i="5"/>
  <c r="E22" i="5"/>
  <c r="F22" i="5"/>
  <c r="G22" i="5"/>
  <c r="E23" i="5"/>
  <c r="F23" i="5"/>
  <c r="G23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E33" i="5"/>
  <c r="F33" i="5"/>
  <c r="G33" i="5"/>
  <c r="E34" i="5"/>
  <c r="F34" i="5"/>
  <c r="G34" i="5"/>
  <c r="E35" i="5"/>
  <c r="F35" i="5" s="1"/>
  <c r="G35" i="5" s="1"/>
  <c r="E36" i="5"/>
  <c r="F36" i="5"/>
  <c r="G36" i="5"/>
  <c r="E37" i="5"/>
  <c r="F37" i="5"/>
  <c r="G37" i="5"/>
  <c r="E38" i="5"/>
  <c r="F38" i="5"/>
  <c r="G38" i="5"/>
  <c r="E39" i="5"/>
  <c r="F39" i="5"/>
  <c r="G39" i="5"/>
  <c r="E40" i="5"/>
  <c r="F40" i="5"/>
  <c r="G40" i="5"/>
  <c r="E41" i="5"/>
  <c r="F41" i="5"/>
  <c r="G41" i="5"/>
  <c r="E42" i="5"/>
  <c r="F42" i="5"/>
  <c r="G42" i="5"/>
  <c r="E43" i="5"/>
  <c r="F43" i="5"/>
  <c r="G43" i="5"/>
  <c r="E44" i="5"/>
  <c r="F44" i="5"/>
  <c r="G44" i="5"/>
  <c r="E45" i="5"/>
  <c r="F45" i="5"/>
  <c r="G45" i="5"/>
  <c r="E46" i="5"/>
  <c r="F46" i="5"/>
  <c r="G46" i="5"/>
  <c r="E47" i="5"/>
  <c r="F47" i="5"/>
  <c r="G47" i="5"/>
  <c r="E48" i="5"/>
  <c r="F48" i="5"/>
  <c r="G48" i="5"/>
  <c r="E49" i="5"/>
  <c r="F49" i="5"/>
  <c r="G49" i="5"/>
  <c r="E50" i="5"/>
  <c r="F50" i="5"/>
  <c r="G50" i="5"/>
  <c r="E51" i="5"/>
  <c r="F51" i="5"/>
  <c r="G51" i="5"/>
  <c r="E52" i="5"/>
  <c r="F52" i="5" s="1"/>
  <c r="G52" i="5" s="1"/>
  <c r="E53" i="5"/>
  <c r="F53" i="5"/>
  <c r="G53" i="5"/>
  <c r="E54" i="5"/>
  <c r="F54" i="5"/>
  <c r="G54" i="5"/>
  <c r="E55" i="5"/>
  <c r="F55" i="5"/>
  <c r="G55" i="5"/>
  <c r="E56" i="5"/>
  <c r="F56" i="5"/>
  <c r="G56" i="5"/>
  <c r="E57" i="5"/>
  <c r="F57" i="5"/>
  <c r="G57" i="5"/>
  <c r="E58" i="5"/>
  <c r="F58" i="5"/>
  <c r="G58" i="5"/>
  <c r="E59" i="5"/>
  <c r="F59" i="5"/>
  <c r="G59" i="5"/>
  <c r="E60" i="5"/>
  <c r="F60" i="5"/>
  <c r="G60" i="5"/>
  <c r="E61" i="5"/>
  <c r="F61" i="5"/>
  <c r="G61" i="5"/>
  <c r="E62" i="5"/>
  <c r="F62" i="5"/>
  <c r="G62" i="5"/>
  <c r="E63" i="5"/>
  <c r="F63" i="5"/>
  <c r="G63" i="5"/>
  <c r="E64" i="5"/>
  <c r="F64" i="5"/>
  <c r="G64" i="5"/>
  <c r="E65" i="5"/>
  <c r="F65" i="5" s="1"/>
  <c r="G65" i="5" s="1"/>
  <c r="E66" i="5"/>
  <c r="F66" i="5"/>
  <c r="G66" i="5"/>
  <c r="E67" i="5"/>
  <c r="F67" i="5"/>
  <c r="G67" i="5"/>
  <c r="E68" i="5"/>
  <c r="F68" i="5"/>
  <c r="G68" i="5"/>
  <c r="E69" i="5"/>
  <c r="F69" i="5"/>
  <c r="G69" i="5"/>
  <c r="E70" i="5"/>
  <c r="F70" i="5"/>
  <c r="G70" i="5"/>
  <c r="E71" i="5"/>
  <c r="F71" i="5"/>
  <c r="G71" i="5"/>
  <c r="E72" i="5"/>
  <c r="F72" i="5"/>
  <c r="G72" i="5"/>
  <c r="E73" i="5"/>
  <c r="F73" i="5"/>
  <c r="G73" i="5"/>
  <c r="E74" i="5"/>
  <c r="F74" i="5"/>
  <c r="G74" i="5"/>
  <c r="E75" i="5"/>
  <c r="F75" i="5"/>
  <c r="G75" i="5"/>
  <c r="E76" i="5"/>
  <c r="F76" i="5"/>
  <c r="G76" i="5"/>
  <c r="E77" i="5"/>
  <c r="F77" i="5"/>
  <c r="G77" i="5"/>
  <c r="E78" i="5"/>
  <c r="F78" i="5"/>
  <c r="G78" i="5"/>
  <c r="E79" i="5"/>
  <c r="F79" i="5"/>
  <c r="G79" i="5"/>
  <c r="E80" i="5"/>
  <c r="F80" i="5"/>
  <c r="G80" i="5"/>
  <c r="E81" i="5"/>
  <c r="F81" i="5"/>
  <c r="G81" i="5"/>
  <c r="E82" i="5"/>
  <c r="F82" i="5"/>
  <c r="G82" i="5"/>
  <c r="E83" i="5"/>
  <c r="F83" i="5"/>
  <c r="G83" i="5"/>
  <c r="E84" i="5"/>
  <c r="F84" i="5"/>
  <c r="G84" i="5"/>
  <c r="E85" i="5"/>
  <c r="F85" i="5"/>
  <c r="G85" i="5"/>
  <c r="E86" i="5"/>
  <c r="F86" i="5"/>
  <c r="G86" i="5"/>
  <c r="E87" i="5"/>
  <c r="F87" i="5"/>
  <c r="G87" i="5"/>
  <c r="E88" i="5"/>
  <c r="F88" i="5"/>
  <c r="G88" i="5"/>
  <c r="E89" i="5"/>
  <c r="F89" i="5"/>
  <c r="G89" i="5"/>
  <c r="E90" i="5"/>
  <c r="F90" i="5"/>
  <c r="G90" i="5" s="1"/>
  <c r="E91" i="5"/>
  <c r="F91" i="5"/>
  <c r="G91" i="5"/>
  <c r="E92" i="5"/>
  <c r="F92" i="5"/>
  <c r="G92" i="5" s="1"/>
  <c r="E93" i="5"/>
  <c r="F93" i="5"/>
  <c r="G93" i="5" s="1"/>
  <c r="E94" i="5"/>
  <c r="F94" i="5" s="1"/>
  <c r="G94" i="5" s="1"/>
  <c r="E95" i="5"/>
  <c r="F95" i="5"/>
  <c r="G95" i="5" s="1"/>
  <c r="E96" i="5"/>
  <c r="F96" i="5" s="1"/>
  <c r="G96" i="5" s="1"/>
  <c r="E97" i="5"/>
  <c r="F97" i="5" s="1"/>
  <c r="G97" i="5" s="1"/>
  <c r="E98" i="5"/>
  <c r="F98" i="5"/>
  <c r="G98" i="5" s="1"/>
  <c r="E99" i="5"/>
  <c r="F99" i="5" s="1"/>
  <c r="G99" i="5" s="1"/>
  <c r="E100" i="5"/>
  <c r="F100" i="5" s="1"/>
  <c r="G100" i="5" s="1"/>
  <c r="E101" i="5"/>
  <c r="F101" i="5"/>
  <c r="G101" i="5" s="1"/>
  <c r="E102" i="5"/>
  <c r="F102" i="5" s="1"/>
  <c r="G102" i="5" s="1"/>
  <c r="E103" i="5"/>
  <c r="F103" i="5"/>
  <c r="G103" i="5" s="1"/>
  <c r="E104" i="5"/>
  <c r="F104" i="5" s="1"/>
  <c r="G104" i="5" s="1"/>
  <c r="E105" i="5"/>
  <c r="F105" i="5"/>
  <c r="G105" i="5"/>
  <c r="E106" i="5"/>
  <c r="F106" i="5" s="1"/>
  <c r="G106" i="5" s="1"/>
  <c r="E107" i="5"/>
  <c r="F107" i="5"/>
  <c r="G107" i="5"/>
  <c r="E108" i="5"/>
  <c r="F108" i="5" s="1"/>
  <c r="G108" i="5" s="1"/>
  <c r="E109" i="5"/>
  <c r="F109" i="5"/>
  <c r="G109" i="5" s="1"/>
  <c r="E110" i="5"/>
  <c r="F110" i="5" s="1"/>
  <c r="G110" i="5" s="1"/>
  <c r="E111" i="5"/>
  <c r="F111" i="5" s="1"/>
  <c r="G111" i="5" s="1"/>
  <c r="E112" i="5"/>
  <c r="F112" i="5" s="1"/>
  <c r="G112" i="5" s="1"/>
  <c r="E113" i="5"/>
  <c r="F113" i="5" s="1"/>
  <c r="G113" i="5" s="1"/>
  <c r="E114" i="5"/>
  <c r="F114" i="5" s="1"/>
  <c r="G114" i="5" s="1"/>
  <c r="E115" i="5"/>
  <c r="F115" i="5" s="1"/>
  <c r="G115" i="5" s="1"/>
  <c r="E116" i="5"/>
  <c r="F116" i="5" s="1"/>
  <c r="G116" i="5" s="1"/>
  <c r="E117" i="5"/>
  <c r="F117" i="5" s="1"/>
  <c r="G117" i="5" s="1"/>
  <c r="E118" i="5"/>
  <c r="F118" i="5" s="1"/>
  <c r="G118" i="5" s="1"/>
  <c r="E119" i="5"/>
  <c r="F119" i="5"/>
  <c r="G119" i="5"/>
  <c r="E120" i="5"/>
  <c r="F120" i="5"/>
  <c r="G120" i="5"/>
  <c r="E121" i="5"/>
  <c r="F121" i="5"/>
  <c r="G121" i="5"/>
  <c r="E122" i="5"/>
  <c r="F122" i="5"/>
  <c r="G122" i="5"/>
  <c r="E123" i="5"/>
  <c r="F123" i="5"/>
  <c r="G123" i="5"/>
  <c r="E124" i="5"/>
  <c r="F124" i="5"/>
  <c r="G124" i="5"/>
  <c r="E125" i="5"/>
  <c r="F125" i="5"/>
  <c r="G125" i="5"/>
  <c r="E126" i="5"/>
  <c r="F126" i="5"/>
  <c r="G126" i="5"/>
  <c r="E127" i="5"/>
  <c r="F127" i="5"/>
  <c r="G127" i="5"/>
  <c r="E128" i="5"/>
  <c r="F128" i="5"/>
  <c r="G128" i="5"/>
  <c r="E129" i="5"/>
  <c r="F129" i="5"/>
  <c r="G129" i="5"/>
  <c r="E130" i="5"/>
  <c r="F130" i="5"/>
  <c r="G130" i="5"/>
  <c r="E131" i="5"/>
  <c r="F131" i="5"/>
  <c r="G131" i="5"/>
  <c r="E132" i="5"/>
  <c r="F132" i="5"/>
  <c r="G132" i="5"/>
  <c r="E133" i="5"/>
  <c r="F133" i="5"/>
  <c r="G133" i="5"/>
  <c r="G2" i="5"/>
  <c r="F2" i="5"/>
  <c r="E2" i="5"/>
</calcChain>
</file>

<file path=xl/sharedStrings.xml><?xml version="1.0" encoding="utf-8"?>
<sst xmlns="http://schemas.openxmlformats.org/spreadsheetml/2006/main" count="912" uniqueCount="909">
  <si>
    <t>MOTOROLA</t>
  </si>
  <si>
    <t xml:space="preserve">6999-1 SWAP IPHONE 13 128GB AZUL A (AMERICANO) / 909.00 |</t>
  </si>
  <si>
    <t xml:space="preserve">7255-7 SWAP IPHONE 13 128GB AZUL A- (AMERICANO) / 511.00 |</t>
  </si>
  <si>
    <t xml:space="preserve">6998-4 SWAP IPHONE 13 128GB BRANCO A (AMERICANO) / 851.00 |</t>
  </si>
  <si>
    <t xml:space="preserve">7600-5 SWAP IPHONE 13 128GB BRANCO A- (AMERICANO) / 233.00 |</t>
  </si>
  <si>
    <t xml:space="preserve">7258-8 SWAP IPHONE 13 128GB MIDNIGHT A (AMERICANO) / 695.00 |</t>
  </si>
  <si>
    <t xml:space="preserve">7256-4 SWAP IPHONE 13 128GB MIDNIGHT A- (AMERICANO) / 569.00 |</t>
  </si>
  <si>
    <t xml:space="preserve">7599-2 SWAP IPHONE 13 128GB PINK A (AMERICANO) / 577.00 |</t>
  </si>
  <si>
    <t xml:space="preserve">7398-1 SWAP IPHONE 13 128GB PINK A- (AMERICANO) / 273.00 |</t>
  </si>
  <si>
    <t xml:space="preserve">7605-0 SWAP IPHONE 13 128GB RED A (AMERICANO) / 533.00 |</t>
  </si>
  <si>
    <t xml:space="preserve">8523-6 SWAP IPHONE 13 128GB VERDE A (AMERICANO) / 629.00 |</t>
  </si>
  <si>
    <t xml:space="preserve">8560-1 SWAP IPHONE 13 256GB ROJO A (AMERICANO) / 805.00 |</t>
  </si>
  <si>
    <t xml:space="preserve">8934-0 SWAP IPHONE 13 256GB VERDE A (AMERICANO) / 359.00 |</t>
  </si>
  <si>
    <t xml:space="preserve">12920-6 SWAP IPHONE 13 MINI 128GB PINK GRADO A (AMERICANO) / 933.00 |</t>
  </si>
  <si>
    <t xml:space="preserve">8084-2 SWAP IPHONE 13 PRO 128GB VERDE A (AMERICANO) / 627.00 |</t>
  </si>
  <si>
    <t xml:space="preserve">9676-8 SWAP IPHONE 14 128GB ESIM BLANCO A (AMERICANO) / 641.00 |</t>
  </si>
  <si>
    <t xml:space="preserve">9677-5 SWAP IPHONE 14 128GB ESIM PRETO A (AMERICANO) / 699.00 |</t>
  </si>
  <si>
    <t xml:space="preserve">9678-2 SWAP IPHONE 14 128GB ESIM PURPLE A (AMERICANO) / 757.00 |</t>
  </si>
  <si>
    <t xml:space="preserve">9675-1 SWAP IPHONE 14 128GB ESIM VERMELHO A (AMERICANO) / 573.00 |</t>
  </si>
  <si>
    <t xml:space="preserve">9972-1 SWAP IPHONE 14 256GB ESIM AMARELHO A (AMERICANO) / 753.00 |</t>
  </si>
  <si>
    <t xml:space="preserve">9680-5 SWAP IPHONE 14 256GB ESIM PRETO A (AMERICANO) / 363.00 |</t>
  </si>
  <si>
    <t xml:space="preserve">9683-6 SWAP IPHONE 14 256GB ESIM PRETO A-(AMERICANO) / 547.00 |</t>
  </si>
  <si>
    <t xml:space="preserve">9681-2 SWAP IPHONE 14 256GB ESIM PURPLE A (AMERICANO) / 421.00 |</t>
  </si>
  <si>
    <t xml:space="preserve">9682-9 SWAP IPHONE 14 256GB ESIM VERMELHO A (AMERICANO) / 489.00 |</t>
  </si>
  <si>
    <t xml:space="preserve">10034-2 SWAP IPHONE 14 PRO 256GB ESIM A PURPLE (AMERICANO) / 773.00 |</t>
  </si>
  <si>
    <t xml:space="preserve">9046-9 SWAP IPHONE 14 PRO 256GB ESIM A- PRETO(AMERICANO) / 543.00 |</t>
  </si>
  <si>
    <t xml:space="preserve">9726-0 SWAP IPHONE 14 PRO MAX 128GB ESIM A GOLD (AMERICANO) / 299.00 |</t>
  </si>
  <si>
    <t xml:space="preserve">8814-5 SWAP IPHONE 14 PRO MAX 128GB ESIM A- PRETO (AMERICANO) / 61.00 |</t>
  </si>
  <si>
    <t xml:space="preserve">8813-8 SWAP IPHONE 14 PRO MAX 128GB ESIM A- PURPLE(AMERICANO) / 903.00 |</t>
  </si>
  <si>
    <t xml:space="preserve">9433-7 SWAP IPHONE 14 PRO MAX 128GB ESIM B SPACE BLACK (AMERICAN/ 751.00 |</t>
  </si>
  <si>
    <t xml:space="preserve">10855-3 SWAP IPHONE 15 128GB ESIM A (ASIS+) PRETO NOT ACTIVE (AME/ 185.00 |</t>
  </si>
  <si>
    <t xml:space="preserve">14333-2 SWAP IPHONE 15 128GB ESIM A AMARILLO AMRICANO / 779.00 |</t>
  </si>
  <si>
    <t xml:space="preserve">11421-9 SWAP IPHONE 15 128GB ESIM A ROSA (AMERICANO) / 241.00 |</t>
  </si>
  <si>
    <t xml:space="preserve">11422-6 SWAP IPHONE 15 128GB ESIM A VERDE (AMERICANO) / 299.00 |</t>
  </si>
  <si>
    <t xml:space="preserve">14327-1 SWAP IPHONE 15 128GB ESIM A- PRETO AMERICANO / 931.00 |</t>
  </si>
  <si>
    <t xml:space="preserve">15622-6 SWAP IPHONE 15 256GB ESIM A AMARILLO(AMERICANO) / 245.00 |</t>
  </si>
  <si>
    <t xml:space="preserve">12013-5 SWAP IPHONE 15 256GB ESIM A PINK (AMERICANO) / 835.00 |</t>
  </si>
  <si>
    <t xml:space="preserve">12015-9 SWAP IPHONE 15 256GB ESIM A VERDE (AMERICANO) / 61.00 |</t>
  </si>
  <si>
    <t xml:space="preserve">11008-2 SWAP IPHONE 15 PRO 128GB ESIM A AZUL (AMERICANO) / 895.00 |</t>
  </si>
  <si>
    <t xml:space="preserve">10908-6 SWAP IPHONE 15 PRO 128GB ESIM A BRANCO (AMERICANO) / 937.00 |</t>
  </si>
  <si>
    <t xml:space="preserve">11302-1 SWAP IPHONE 15 PRO 128GB ESIM A PRETO (AMERICANO) / 891.00 |</t>
  </si>
  <si>
    <t xml:space="preserve">11416-5 SWAP IPHONE 15 PRO 256GB ESIM A AZUL (AMERICANO) / 451.00 |</t>
  </si>
  <si>
    <t xml:space="preserve">10973-4 SWAP IPHONE 15 PRO MAX 256GB ESIM A AZUL(AMERICANO) / 367.00 |</t>
  </si>
  <si>
    <t xml:space="preserve">10972-7 SWAP IPHONE 15 PRO MAX 256GB ESIM A PRETO(AMERICANO) / 309.00 |</t>
  </si>
  <si>
    <t xml:space="preserve">13362-3 SWAP IPHONE 15 PRO MAX 512GB ESIM A AZUL(AMERICANO) / 841.00 |</t>
  </si>
  <si>
    <t xml:space="preserve">14612-8 SWAP IPHONE 15 PRO MAX 512GB ESIM A- PRETO (AMERICANO) / 905.00 |</t>
  </si>
  <si>
    <t xml:space="preserve">13973-1 SWAP IPHONE 16 128GB ESIM A PRETO (AMERICANO) / 817.00 |</t>
  </si>
  <si>
    <t xml:space="preserve">16134-3 SWAP IPHONE 16 PLUS 128GB ESIM A PRETO (AMERICANO) / 901.00 |</t>
  </si>
  <si>
    <t xml:space="preserve">15255-6 SWAP IPHONE 16 PRO 128GB ESIM A BRANCO (AMERICANO) / 217.00 |</t>
  </si>
  <si>
    <t xml:space="preserve">16441-2 SWAP IPHONE 16 PRO 128GB ESIM A BRANCO TELA TROCADA (AMER/ 271.00 |</t>
  </si>
  <si>
    <t xml:space="preserve">15253-2 SWAP IPHONE 16 PRO 128GB ESIM A DESERT (AMER) / 91.00 |</t>
  </si>
  <si>
    <t xml:space="preserve">16459-7 SWAP IPHONE 16 PRO 128GB ESIM A DESERT TELA TROCADA (AMER/ 855.00 |</t>
  </si>
  <si>
    <t xml:space="preserve">15838-1 SWAP IPHONE 16 PRO 128GB ESIM A NATURAL TELA TROCADA (AME/ 939.00 |</t>
  </si>
  <si>
    <t xml:space="preserve">14511-4 SWAP IPHONE 16 PRO 128GB ESIM A NATURAL(AMERICANO) / 719.00 |</t>
  </si>
  <si>
    <t xml:space="preserve">15254-9 SWAP IPHONE 16 PRO 128GB ESIM A PRETO (AMERICANO) / 159.00 |</t>
  </si>
  <si>
    <t xml:space="preserve">15737-7 SWAP IPHONE 16 PRO 128GB ESIM A- BRANCO (AMER) / 763.00 |</t>
  </si>
  <si>
    <t xml:space="preserve">15263-1 SWAP IPHONE 16 PRO 128GB ESIM A- DESERT (AMER) / 181.00 |</t>
  </si>
  <si>
    <t xml:space="preserve">12572-7 SWAP IPHONE 16 PRO 128GB ESIM A- NATURAL(AMER) / 127.00 |</t>
  </si>
  <si>
    <t xml:space="preserve">15264-8 SWAP IPHONE 16 PRO 128GB ESIM A- PRETO (AMER) / 249.00 |</t>
  </si>
  <si>
    <t xml:space="preserve">15130-6 SWAP IPHONE 16 PRO 256GB ESIM A- PRETO (AMERICANO) / 509.00 |</t>
  </si>
  <si>
    <t xml:space="preserve">16189-3 SWAP IPHONE 16 PRO 512GB ESIM A- PRETO (AMERICANO) / 761.00 |</t>
  </si>
  <si>
    <t xml:space="preserve">15064-4 SWAP IPHONE 16 PRO MAX 256GB ESIM A NATURAL (AMER) / 903.00 |</t>
  </si>
  <si>
    <t xml:space="preserve">15063-7 SWAP IPHONE 16 PRO MAX 256GB ESIM A PRETO (AMER) / 845.00 |</t>
  </si>
  <si>
    <t xml:space="preserve">15067-5 SWAP IPHONE 16 PRO MAX 256GB ESIM A- DESERT AMERICANO / 187.00 |</t>
  </si>
  <si>
    <t xml:space="preserve">15219-8 SWAP IPHONE 16 PRO MAX 256GB ESIM A- PRETO AMERICANO / 99.00 |</t>
  </si>
  <si>
    <t xml:space="preserve">15526-7 SWAP IPHONE 16E 128GB ESIM A BRANCO (AMERICANO) / 369.00 |</t>
  </si>
  <si>
    <t xml:space="preserve">15528-1 SWAP IPHONE 16E 128GB ESIM A PRETO(AMERICANO) / 485.00 |</t>
  </si>
  <si>
    <t xml:space="preserve">16476-4 SWAP IPHONE 17 256GB ESIM A BLUE (AMERICANO) / 851.00 |</t>
  </si>
  <si>
    <t xml:space="preserve">16482-5 SWAP IPHONE 17 256GB ESIM A PRETO (AMERICANO) / 699.00 |</t>
  </si>
  <si>
    <t xml:space="preserve">16481-8 SWAP IPHONE 17 256GB ESIM A PRETO GARANTIA APPLE (AMERICA/ 641.00 |</t>
  </si>
  <si>
    <t xml:space="preserve">16477-1 SWAP IPHONE 17 256GB ESIM A SAGE (AMERICANO) / 909.00 |</t>
  </si>
  <si>
    <t xml:space="preserve">15370-6 SWAP IPHONE 17 PRO 256GB ESIM A ORANGE GARANTIA APPLE (AM/ 215.00 |</t>
  </si>
  <si>
    <t xml:space="preserve">16052-0 SWAP IPHONE 17 PRO MAX 256GB ESIM A ORANGE (AMERICANO) / 837.00 |</t>
  </si>
  <si>
    <t xml:space="preserve">16065-0 SWAP IPHONE 17 PRO MAX 512GB ESIM A ORANGE (AMERICANO) / 211.00 |</t>
  </si>
  <si>
    <t>Coluna1</t>
  </si>
  <si>
    <t xml:space="preserve">8109-2 SWAP IPHONE 13 128GB VERDE A- (AMERICANO) / 325.00 |</t>
  </si>
  <si>
    <t xml:space="preserve">7495-7 SWAP IPHONE 13 256GB AZUL A (AMERICANO) / 217.00 |</t>
  </si>
  <si>
    <t xml:space="preserve">7980-8 SWAP IPHONE 13 256GB PINK A (AMERICANO) / 427.00 |</t>
  </si>
  <si>
    <t xml:space="preserve">9756-7 SWAP IPHONE 14 PRO 128GB ESIM A GOLD (AMERICANO) / 579.00 |</t>
  </si>
  <si>
    <t xml:space="preserve">9040-7 SWAP IPHONE 14 PRO 128GB ESIM A PRETO (AMERICANO) / 175.00 |</t>
  </si>
  <si>
    <t xml:space="preserve">9931-8 SWAP IPHONE 14 PRO 128GB ESIM A PURPLE (AMERICANO) / 335.00 |</t>
  </si>
  <si>
    <t xml:space="preserve">9930-1 SWAP IPHONE 14 PRO 128GB ESIM A SILVER (AMERICANO) / 267.00 |</t>
  </si>
  <si>
    <t xml:space="preserve">9026-1 SWAP IPHONE 14 PRO 128GB ESIM A- GOLD (AMERICANO) / 353.00 |</t>
  </si>
  <si>
    <t xml:space="preserve">8815-2 SWAP IPHONE 14 PRO 128GB ESIM A- PRETO (AMERICANO) / 119.00 |</t>
  </si>
  <si>
    <t xml:space="preserve">8710-0 SWAP IPHONE 14 PRO 128GB ESIM A- PURPLE (AMERICANO) / 591.00 |</t>
  </si>
  <si>
    <t xml:space="preserve">9728-4 SWAP IPHONE 14 PRO MAX 128GB ESIM A PRETO (AMERICANO) / 425.00 |</t>
  </si>
  <si>
    <t xml:space="preserve">11257-4 SWAP IPHONE 14 PRO MAX 128GB ESIM A PRETO TELA TROCADA (A/ 633.00 |</t>
  </si>
  <si>
    <t xml:space="preserve">9684-3 SWAP IPHONE 14 PRO MAX 128GB ESIM A PURPLE (AMERICANO) / 605.00 |</t>
  </si>
  <si>
    <t xml:space="preserve">10923-9 SWAP IPHONE 14 PRO MAX 128GB ESIM A PURPLE TELA TROCADA (/ 817.00 |</t>
  </si>
  <si>
    <t xml:space="preserve">9727-7 SWAP IPHONE 14 PRO MAX 128GB ESIM A SILVER (AMERICANO) / 367.00 |</t>
  </si>
  <si>
    <t xml:space="preserve">11420-2 SWAP IPHONE 15 128GB ESIM A AZUL (AMERICANO) / 173.00 |</t>
  </si>
  <si>
    <t xml:space="preserve">9729-1 SWAP IPHONE 14 PRO MAX 256GB ESIM A GOLD (AMERICANO) / 483.00 |</t>
  </si>
  <si>
    <t xml:space="preserve">16426-9 SWAP IPHONE 14 PRO MAX 256GB ESIM A GOLD TELA TROCADA(AME/ 401.00 |</t>
  </si>
  <si>
    <t xml:space="preserve">9830-4 SWAP IPHONE 14 PRO MAX 256GB ESIM A PRETO (AMERICANO) / 149.00 |</t>
  </si>
  <si>
    <t xml:space="preserve">11054-9 SWAP IPHONE 14 PRO MAX 256GB ESIM A PRETO TELA TROCADA(AM/ 213.00 |</t>
  </si>
  <si>
    <t xml:space="preserve">9829-8 SWAP IPHONE 14 PRO MAX 256GB ESIM A PURPLE (AMERICANO) / 611.00 |</t>
  </si>
  <si>
    <t xml:space="preserve">11053-2 SWAP IPHONE 14 PRO MAX 256GB ESIM A PURPLE TELA TROCADA(A/ 145.00 |</t>
  </si>
  <si>
    <t xml:space="preserve">9828-1 SWAP IPHONE 14 PRO MAX 256GB ESIM A SILVER (AMERICANO) / 543.00 |</t>
  </si>
  <si>
    <t xml:space="preserve">9436-8 SWAP IPHONE 14 PRO MAX 256GB ESIM A- GOLD(AMERICANO) / 935.00 |</t>
  </si>
  <si>
    <t xml:space="preserve">9434-4 SWAP IPHONE 14 PRO MAX 256GB ESIM A- PRETO (AMERICANO) / 809.00 |</t>
  </si>
  <si>
    <t xml:space="preserve">8933-3 SWAP IPHONE 14 PRO MAX 256GB ESIM A- PURPLE(AMERICANO) / 301.00 |</t>
  </si>
  <si>
    <t xml:space="preserve">11100-3 SWAP IPHONE 15 128GB ESIM A PRETO (AMERICANO) / 529.00 |</t>
  </si>
  <si>
    <t xml:space="preserve">14167-3 SWAP IPHONE 15 PRO 128GB ESIM A- AZUL (AMERICANO) / 155.00 |</t>
  </si>
  <si>
    <t xml:space="preserve">16714-7 SWAP IPHONE 17 PRO MAX 1TB ESIM A ORANGE (AMERICANO) / 549.00 |</t>
  </si>
  <si>
    <t xml:space="preserve">112818-5 APPLE FONE AIRPODS 4 MXP63LL/A WHITE /UNI 103.00 |</t>
  </si>
  <si>
    <t xml:space="preserve">140125-7 APPLE FONE AIRPODS 4 MXP63LL/A WHITE ATIVO JUNHO2026 /UNI 307.00 |</t>
  </si>
  <si>
    <t xml:space="preserve">138977-7 APPLE FONE AIRPODS 4 MXP63LL/A WHITE CX.F /UNI 179.00 |</t>
  </si>
  <si>
    <t xml:space="preserve">139494-8 APPLE FONE AIRPODS 4 MXP63ZA/A WHITE /UNI 625.00 |</t>
  </si>
  <si>
    <t xml:space="preserve">112819-2 APPLE FONE AIRPODS 4 MXP93LL/A ACTIVE NOISE CANCELLATION /UNI 161.00 |</t>
  </si>
  <si>
    <t xml:space="preserve">124118-1 APPLE FONE AIRPODS 4 MXP93LL/A ACTIVE NOISE CANCELLATION /UNI 635.00 |</t>
  </si>
  <si>
    <t xml:space="preserve">137469-8 APPLE FONE AIRPODS MAX 2 USB-C MHWK4AM/A MIDNIGHT /UNI 355.00 |</t>
  </si>
  <si>
    <t xml:space="preserve">136321-0 APPLE FONE AIRPODS MAX 2 USB-C MHWK4ZA/A MIDNIGHT /UNI 123.00 |</t>
  </si>
  <si>
    <t xml:space="preserve">136322-7 APPLE FONE AIRPODS MAX 2 USB-C MHWL4ZA/A STARLIGHT /UNI 191.00 |</t>
  </si>
  <si>
    <t xml:space="preserve">139240-1 APPLE FONE AIRPODS MAX 2 USB-C MHWM4ZA/A BLUE /UNI 577.00 |</t>
  </si>
  <si>
    <t xml:space="preserve">138404-8 APPLE FONE AIRPODS MAX 2 USB-C MHWN4AM/A ORANGE /UNI 555.00 |</t>
  </si>
  <si>
    <t xml:space="preserve">139241-8 APPLE FONE AIRPODS MAX 2 USB-C MHWN4ZA/A ORANGE /UNI 645.00 |</t>
  </si>
  <si>
    <t xml:space="preserve">139242-5 APPLE FONE AIRPODS MAX 2 USB-C MHWP4ZA/A PURPLE /UNI 703.00 |</t>
  </si>
  <si>
    <t xml:space="preserve">138708-7 APPLE FONE AIRPODS MAX USB-C MWW43ZM/A MIDNIGHT /UNI 261.00 |</t>
  </si>
  <si>
    <t xml:space="preserve">118006-0 APPLE FONE AIRPODS MAX USB-C MWW53ZM/A STARLIGHT /UNI 723.00 |</t>
  </si>
  <si>
    <t xml:space="preserve">121212-9 APPLE FONE AIRPODS MAX USB-C MWW63ZM/A BLUE /UNI 845.00 |</t>
  </si>
  <si>
    <t xml:space="preserve">113979-2 APPLE FONE AIRPODS MAX USB-C MWW73AM/A ORANGE /UNI 79.00 |</t>
  </si>
  <si>
    <t xml:space="preserve">115525-9 APPLE FONE AIRPODS MAX USB-C MWW83ZM/A PURPLE /UNI 105.00 |</t>
  </si>
  <si>
    <t xml:space="preserve">127788-3 APPLE WATCH S11 GPS 42MM MEQW4LW/A ALIMINUM CASE SPACE GR/UNI 653.00 |</t>
  </si>
  <si>
    <t xml:space="preserve">127613-8 APPLE WATCH S11 GPS 42MM MEU04LW/A ALIMINUM LIGHT BLUSH R/UNI 495.00 |</t>
  </si>
  <si>
    <t xml:space="preserve">127955-9 APPLE WATCH S11 GPS 42MM MEU04LW/A ALIMINUM ROSE GOLD SPO/UNI 445.00 |</t>
  </si>
  <si>
    <t xml:space="preserve">127790-6 APPLE WATCH S11 GPS 42MM MEU44LW/A ALIMINUM LIGHT BLUSH R/UNI 259.00 |</t>
  </si>
  <si>
    <t xml:space="preserve">127803-3 APPLE WATCH S11 GPS 42MM MEU64LW/A ALIMINUM CASE SILVER P/UNI 641.00 |</t>
  </si>
  <si>
    <t xml:space="preserve">127793-7 APPLE WATCH S11 GPS 46MM MEUW4LW/A ALIMINUM JET BLACK S/M/UNI 443.00 |</t>
  </si>
  <si>
    <t xml:space="preserve">127794-4 APPLE WATCH S11 GPS 46MM MEUX4LW/A ALIMINUM JET BLACK M/L/UNI 501.00 |</t>
  </si>
  <si>
    <t xml:space="preserve">127840-8 APPLE WATCH S11 GPS 46MM MEV04LW/A ALIMINUM SPACE GRAY BL/UNI 827.00 |</t>
  </si>
  <si>
    <t xml:space="preserve">106489-6 APPLE WATCH S9 GPS/OXIMETRO 45MM MR9A3LW/A - MIDNIGHT SPO/UNI 741.00 |</t>
  </si>
  <si>
    <t xml:space="preserve">131096-2 APPLE WATCH ULTRA 3 CEL+GPS 49MM MF0V4AF/A BLACK W BLACK /UNI 849.00 |</t>
  </si>
  <si>
    <t xml:space="preserve">131094-8 APPLE WATCH ULTRA 3 CEL+GPS 49MM MF1H4AF/A BLK W BLK-CHRC/UNI 733.00 |</t>
  </si>
  <si>
    <t xml:space="preserve">134118-8 APPLE IPAD AIR M4 MH5P4LL/A WIFI 128GB 13" - BLUE *2026* /UNI 823.00 |</t>
  </si>
  <si>
    <t xml:space="preserve">111712-7 APPLE PENCIL 2 MU8F2ZM/A P/IPAD C/BLUETOOTH WHITE /UNI 367.99 |</t>
  </si>
  <si>
    <t xml:space="preserve">134082-2 APPLE PENCIL 2 MXN43AM/A P/IPAD C/BLUETOOTH WHITE /UNI 67.00 |</t>
  </si>
  <si>
    <t xml:space="preserve">136950-2 APPLE PENCIL 2 MXN43ZM/A P/IPAD C/BLUETOOTH WHITE /UNI 163.00 |</t>
  </si>
  <si>
    <t xml:space="preserve">134768-5 APPLE PENCIL MUWA3AM/A P/IPAD (USB-C) /UNI 201.00 |</t>
  </si>
  <si>
    <t xml:space="preserve">139547-1 NB APPLE MHFE4LL/A NEO A18 PRO 8GB/512GB/13" - CITRUS ATI/UNI 467.00 |</t>
  </si>
  <si>
    <t xml:space="preserve">134045-7 NB APPLE NEO MHFD4LL/A A18 PRO 8G/256G SSD/13" CITRUS /UNI 791.00 |</t>
  </si>
  <si>
    <t xml:space="preserve">134686-2 CEL APPLE IPHONE 13 512GB/4 A2633 AA 6.1" MIDNIGHT CPO /UNI 137.00 |</t>
  </si>
  <si>
    <t xml:space="preserve">96086-1 CEL APPLE IPHONE 13 PRO MAX 128GB/6 A2484 LL 6.7" GOLD CP/UNI 311.00 |</t>
  </si>
  <si>
    <t xml:space="preserve">119563-7 CEL APPLE IPHONE 13 PRO MAX 128GB/6 A2484 LL 6.7" SILVER /UNI 949.00 |</t>
  </si>
  <si>
    <t xml:space="preserve">96083-0 CEL APPLE IPHONE 13 PRO MAX 256 A2484 LL ALPINE GREEN *CP/UNI 127.00 |</t>
  </si>
  <si>
    <t xml:space="preserve">96214-8 CEL APPLE IPHONE 13 PRO MAX 256 A2484 LL SILVER *CPO* /UNI 701.00 |</t>
  </si>
  <si>
    <t xml:space="preserve">139410-8 CEL APPLE IPHONE 14 PLUS 128GB/6 A2632 LL 6.7" MIDNIGHT E/UNI 553.00 |</t>
  </si>
  <si>
    <t xml:space="preserve">133834-8 CEL APPLE IPHONE 14 PRO 128GB/6 A2890 6.1" D.PURP CPO ESI/UNI 557.00 |</t>
  </si>
  <si>
    <t xml:space="preserve">133835-5 CEL APPLE IPHONE 14 PRO 128GB/6 A2890 6.1" SILVER CPO ESI/UNI 615.00 |</t>
  </si>
  <si>
    <t xml:space="preserve">133833-1 CEL APPLE IPHONE 14 PRO 128GB/6 A2890 AA 6.1" S.BLACK CPO/UNI 489.00 |</t>
  </si>
  <si>
    <t xml:space="preserve">133836-2 CEL APPLE IPHONE 14 PRO 256GB/6 A2890 AA/A 6.1" S.BLACK C/UNI 673.00 |</t>
  </si>
  <si>
    <t xml:space="preserve">101339-9 CEL APPLE IPHONE 15 128GB/6 A3090 HN/A 6.1" BLACK S.FIS+E/UNI 313.00 |</t>
  </si>
  <si>
    <t xml:space="preserve">101340-5 CEL APPLE IPHONE 15 128GB/6 A3090 HN/A 6.1" BLUE S.FIS+ES/UNI 751.00 |</t>
  </si>
  <si>
    <t xml:space="preserve">107497-0 CEL APPLE IPHONE 15 256GB A3090 HN/A - BLACK (SIM FISICO+/UNI 855.00 |</t>
  </si>
  <si>
    <t xml:space="preserve">122029-2 CEL APPLE IPHONE 15 PRO 256GB/8 A2848 LL 6.1" BLACK.T CPO/UNI 365.00 |</t>
  </si>
  <si>
    <t xml:space="preserve">122030-8 CEL APPLE IPHONE 15 PRO 256GB/8 A2848 LL 6.1" NATURAL.T C/UNI 813.00 |</t>
  </si>
  <si>
    <t xml:space="preserve">139568-6 CEL APPLE IPHONE 15 PRO 256GB/8 A2848 LL 6.1" WHITE.T CPO/UNI 715.00 |</t>
  </si>
  <si>
    <t xml:space="preserve">140788-4 CEL APPLE IPHONE 16 256GB/8 A3288 ZA/A 6.1" BLACK CPO DS./UNI 859.00 |</t>
  </si>
  <si>
    <t xml:space="preserve">140787-7 CEL APPLE IPHONE 16 256GB/8 A3288 ZA/A 6.1" WHITE CPO DS./UNI 801.00 |</t>
  </si>
  <si>
    <t xml:space="preserve">125028-2 CEL APPLE IPHONE 16 PLUS 256GB/8 A3290 HN/A 6.7 ULTRAMARI/UNI 757.00 |</t>
  </si>
  <si>
    <t xml:space="preserve">134343-4 CEL APPLE IPHONE 16 PLUS 256GB/8 A3290 HN/A 6.7" TEAL S.F/UNI 129.00 |</t>
  </si>
  <si>
    <t xml:space="preserve">139217-3 CEL APPLE IPHONE 17 256GB/8 A3258 LL 6.3" LAVENDER ESIM S/UNI 733.00 |</t>
  </si>
  <si>
    <t xml:space="preserve">128635-9 CEL APPLE IPHONE 17 256GB/8 A3519 4J 6.3" BLACK /UNI 51.00 |</t>
  </si>
  <si>
    <t xml:space="preserve">129394-4 CEL APPLE IPHONE 17 256GB/8 A3520 HN 6.3" BLACK S.FIS+ESI/UNI 319.00 |</t>
  </si>
  <si>
    <t xml:space="preserve">129395-1 CEL APPLE IPHONE 17 256GB/8 A3520 HN 6.3" LAVENDER S.FIS+/UNI 377.00 |</t>
  </si>
  <si>
    <t xml:space="preserve">129396-8 CEL APPLE IPHONE 17 256GB/8 A3520 HN 6.3" MIST BLUE S.FIS/UNI 445.00 |</t>
  </si>
  <si>
    <t xml:space="preserve">129420-0 CEL APPLE IPHONE 17 256GB/8 A3520 HN 6.3" SAGE S.FIS+ESIM/UNI 455.00 |</t>
  </si>
  <si>
    <t xml:space="preserve">129397-5 CEL APPLE IPHONE 17 256GB/8 A3520 HN 6.3" WHITE S.FIS+ESI/UNI 503.00 |</t>
  </si>
  <si>
    <t xml:space="preserve">127604-6 CEL APPLE IPHONE AIR 256GB/12 A3260 LL 6.5" SKY BLUE ESIM/UNI 463.00 |</t>
  </si>
  <si>
    <t xml:space="preserve">121545-8 TABLET XIAOMI MI PAD 7 12GB/256GB 11.2" WIFI GREEN BR /UNI 763.00 |</t>
  </si>
  <si>
    <t xml:space="preserve">134823-1 TABLET XIAOMI MI PAD 8 8GB/256GB 11.2" WIFI BLUE BR /UNI 549.00 |</t>
  </si>
  <si>
    <t xml:space="preserve">134824-8 TABLET XIAOMI MI PAD 8 8GB/256GB 11.2" WIFI GRAY BR /UNI 617.00 |</t>
  </si>
  <si>
    <t xml:space="preserve">141116-4 TABLET XIAOMI MI PAD 8 8GB/256GB 11.2" WIFI GRAY US /UNI 425.00 |</t>
  </si>
  <si>
    <t xml:space="preserve">135293-1 TABLET XIAOMI MI PAD 8 8GB/256GB 11.2" WIFI GREEN BR /UNI 611.00 |</t>
  </si>
  <si>
    <t xml:space="preserve">135144-6 TABLET XIAOMI MI PAD 8 PRO 12GB/512GB 11.2" WIFI GREY BR /UNI 101.00 |</t>
  </si>
  <si>
    <t xml:space="preserve">135646-5 TABLET XIAOMI PAD MINI 8GB/256GB 8.8" 3K 165HZ WIFI PURPL/UNI 827.00 |</t>
  </si>
  <si>
    <t xml:space="preserve">138399-7 TABLET XIAOMI POCO PAD C1 4RAM/64GB 9.7" WIFI BLUE BR /UNI 657.00 |</t>
  </si>
  <si>
    <t xml:space="preserve">138398-0 TABLET XIAOMI POCO PAD C1 4RAM/64GB 9.7" WIFI GREY BR /UNI 589.00 |</t>
  </si>
  <si>
    <t xml:space="preserve">138400-0 TABLET XIAOMI POCO PAD C1 6RAM/128GB 9.7" WIFI BLUE BR /UNI 303.00 |</t>
  </si>
  <si>
    <t xml:space="preserve">138401-7 TABLET XIAOMI POCO PAD C1 6RAM/128GB 9.7" WIFI GREY BR /UNI 371.00 |</t>
  </si>
  <si>
    <t xml:space="preserve">130176-2 TABLET XIAOMI REDMI PAD *2* 4G CHIP 4RAM/128GB 11" GRAPHI/UNI 637.75 |</t>
  </si>
  <si>
    <t xml:space="preserve">125326-9 TABLET XIAOMI REDMI PAD *2* 4RAM/128GB 11" GRAPHITE GRAY /UNI 105.00 |</t>
  </si>
  <si>
    <t xml:space="preserve">134791-3 TABLET XIAOMI REDMI PAD *2* 4RAM/128GB 11" GRAY INDONESIA/UNI 945.00 |</t>
  </si>
  <si>
    <t xml:space="preserve">134790-6 TABLET XIAOMI REDMI PAD *2* 4RAM/128GB 11" GREEN INDONESI/UNI 887.00 |</t>
  </si>
  <si>
    <t xml:space="preserve">122394-1 TABLET XIAOMI REDMI PAD *2* 4RAM/128GB 11" MINT GREEN WIF/UNI 159.00 |</t>
  </si>
  <si>
    <t xml:space="preserve">134792-0 TABLET XIAOMI REDMI PAD *2* 4RAM/128GB 11" PURPLE INDONES/UNI 103.00 |</t>
  </si>
  <si>
    <t xml:space="preserve">140103-5 TABLET XIAOMI REDMI PAD *2* 4RAM/64GB 9.7" GREY BR /UNI 901.00 |</t>
  </si>
  <si>
    <t xml:space="preserve">136976-2 TABLET XIAOMI REDMI PAD *2* 4RAM/64GB 9.7" SILVER /UNI 711.00 |</t>
  </si>
  <si>
    <t xml:space="preserve">126156-1 TABLET XIAOMI REDMI PAD *2* 6RAM/128GB 11" MINT GREEN C/A/UNI 279.00 |</t>
  </si>
  <si>
    <t xml:space="preserve">121713-1 TABLET XIAOMI REDMI PAD *2* 8RAM/256GB 11" GRAPHITE GRAY /UNI 603.00 |</t>
  </si>
  <si>
    <t xml:space="preserve">140052-6 TABLET XIAOMI REDMI PAD *2* 8RAM/256GB 11" GRAPHITE GRAY /UNI 275.00 |</t>
  </si>
  <si>
    <t xml:space="preserve">122561-7 TABLET XIAOMI REDMI PAD *2* 8RAM/256GB 11" MINT GREEN WIF/UNI 851.00 |</t>
  </si>
  <si>
    <t xml:space="preserve">129724-9 TABLET XIAOMI REDMI PAD *2* 8RAM/256GB 11" MINT GREEN WIF/UNI 171.00 |</t>
  </si>
  <si>
    <t xml:space="preserve">131544-8 CEL XIAOMI 12 5G DS/8RAM/128GB 6.28" BLUE GLOBAL BR L.P /UNI 883.00 |</t>
  </si>
  <si>
    <t xml:space="preserve">141512-4 CEL XIAOMI 12 5G DS/8RAM/128GB 6.28" GREY GLOBAL BR /UNI 665.00 |</t>
  </si>
  <si>
    <t xml:space="preserve">141044-0 CEL XIAOMI 15 LEICA 5G DS/256GB/12 6.73" GREEN GLOBAL (BR/UNI 451.00 |</t>
  </si>
  <si>
    <t xml:space="preserve">129143-8 CEL XIAOMI 15T LEICA DS/256GB/12 6.83" GREY GLOBAL (BR) /UNI 465.00 |</t>
  </si>
  <si>
    <t xml:space="preserve">135054-8 CEL XIAOMI 17 5G DS/512GB/12 6.3" 4K 50/50MXP BLUE GLOBAL/UNI 73.00 |</t>
  </si>
  <si>
    <t xml:space="preserve">134881-1 CEL XIAOMI 17 LEICA 5G DS/512GB/12 6.3" 4K 50/50MXP BLACK/UNI 73.00 |</t>
  </si>
  <si>
    <t xml:space="preserve">139721-5 CEL XIAOMI 17 LEICA 5G DS/512GB/12 6.3" 4K 50/50MXP BLUE /UNI 165.00 |</t>
  </si>
  <si>
    <t xml:space="preserve">141045-7 CEL XIAOMI 17T LEICA 5G DS/256GB/12 6.59" 50/50MXP BLACK /UNI 519.00 |</t>
  </si>
  <si>
    <t xml:space="preserve">120272-4 CEL XIAOMI POCO C71 DS/128GB/4 6.88" BLACK GLOBAL (BR) /UNI 335.75 |</t>
  </si>
  <si>
    <t xml:space="preserve">141342-7 CEL XIAOMI POCO C71 DS/128GB/4 6.88" BLACK GLOBAL (BR) L./UNI 699.75 |</t>
  </si>
  <si>
    <t xml:space="preserve">127645-9 CEL XIAOMI POCO C71 DS/128GB/4 6.88" BLACK GLOBAL (US) /UNI 891.75 |</t>
  </si>
  <si>
    <t xml:space="preserve">136865-9 CEL XIAOMI POCO C71 DS/128GB/4 6.88" BLUE GLOBAL (BR) L.P/UNI 445.75 |</t>
  </si>
  <si>
    <t xml:space="preserve">128080-7 CEL XIAOMI POCO C71 DS/128GB/4 6.88" BLUE GLOBAL (US) /UNI 373.75 |</t>
  </si>
  <si>
    <t xml:space="preserve">120273-1 CEL XIAOMI POCO C71 DS/128GB/4 6.88" GOLD GLOBAL (BR) /UNI 393.75 |</t>
  </si>
  <si>
    <t xml:space="preserve">127248-2 CEL XIAOMI POCO C71 DS/128GB/4 6.88" GOLD GLOBAL (US) /UNI 583.75 |</t>
  </si>
  <si>
    <t xml:space="preserve">120269-4 CEL XIAOMI POCO C71 DS/64GB/3 6.88" BLACK GLOBAL (BR) /UNI 671.75 |</t>
  </si>
  <si>
    <t xml:space="preserve">123072-7 CEL XIAOMI POCO C71 DS/64GB/3 6.88" BLUE GLOBAL (US) /UNI 549.75 |</t>
  </si>
  <si>
    <t xml:space="preserve">139705-5 CEL XIAOMI POCO C71 DS/64GB/4 6.88" BLACK GLOBAL (US) /UNI 227.75 |</t>
  </si>
  <si>
    <t xml:space="preserve">138876-3 CEL XIAOMI POCO C71 DS/64GB/4 6.88" BLUE GLOBAL (BR) /UNI 893.75 |</t>
  </si>
  <si>
    <t xml:space="preserve">141519-3 CEL XIAOMI POCO C71 DS/64GB/4 6.88" BLUE GLOBAL (US) /UNI 191.75 |</t>
  </si>
  <si>
    <t xml:space="preserve">138877-0 CEL XIAOMI POCO C71 DS/64GB/4 6.88" GOLD GLOBAL (BR) /UNI 51.75 |</t>
  </si>
  <si>
    <t xml:space="preserve">139704-8 CEL XIAOMI POCO C71 DS/64GB/4 6.88" GOLD GLOBAL (US) /UNI 169.75 |</t>
  </si>
  <si>
    <t xml:space="preserve">136703-4 CEL XIAOMI POCO C81 PRO DS/128GB/4 6.9" GOLD GLOBAL (US) /UNI 551.75 |</t>
  </si>
  <si>
    <t xml:space="preserve">141504-9 CEL XIAOMI POCO C85 DS/128GB/6 6.9" BLACK GLOBAL SLIM L.P/UNI 701.75 |</t>
  </si>
  <si>
    <t xml:space="preserve">141506-3 CEL XIAOMI POCO C85 DS/128GB/6 6.9" GREEN GLOBAL SLIM L.P/UNI 817.75 |</t>
  </si>
  <si>
    <t xml:space="preserve">141505-6 CEL XIAOMI POCO C85 DS/128GB/6 6.9" PURPLE GLOBAL SLIM L./UNI 759.75 |</t>
  </si>
  <si>
    <t xml:space="preserve">126142-4 CEL XIAOMI POCO C85 DS/256GB/8 6.9" GREEN GLOBAL (US) /UNI 847.75 |</t>
  </si>
  <si>
    <t xml:space="preserve">141510-0 CEL XIAOMI POCO C85 DS/256GB/8 6.9" GREEN GLOBAL SLIM L.P/UNI 539.75 |</t>
  </si>
  <si>
    <t xml:space="preserve">141508-7 CEL XIAOMI POCO C85 DS/256GB/8 6.9" PURPLE GLOBAL SLIM L./UNI 943.75 |</t>
  </si>
  <si>
    <t xml:space="preserve">96141-7 CEL XIAOMI POCO F3 DS/128GB/6 6.6" 5G NIGHT BLACK GLOBAL /UNI 669.00 |</t>
  </si>
  <si>
    <t xml:space="preserve">88330-6 CEL XIAOMI POCO F4 GT DS/128GB/8 6.67" 5G BLACK GLOBAL /UNI 775.00 |</t>
  </si>
  <si>
    <t xml:space="preserve">97871-2 CEL XIAOMI POCO F5 DS/256GB/12 5G 6.67" WHITE INDIA /UNI 135.00 |</t>
  </si>
  <si>
    <t xml:space="preserve">126243-8 CEL XIAOMI POCO M7 4G DS/128GB/6 6.79" SILVER GLOBAL (BR)/UNI 133.75 |</t>
  </si>
  <si>
    <t xml:space="preserve">131693-3 CEL XIAOMI POCO M8 5G DS/256GB/8 6.77" GREEN GLOBAL (BR) /UNI 493.00 |</t>
  </si>
  <si>
    <t xml:space="preserve">141149-2 CEL XIAOMI POCO M8 PRO 5G DS/512GB/12 6.83" BLACK GLOBAL /UNI 879.00 |</t>
  </si>
  <si>
    <t xml:space="preserve">137471-1 CEL XIAOMI POCO M8 PRO 5G DS/512GB/12 6.83" GREEN GLOBAL /UNI 851.00 |</t>
  </si>
  <si>
    <t xml:space="preserve">117258-4 CEL XIAOMI POCO X7 PRO 5G DS/512GB/12 6.67" 4K BLACK GLOB/UNI 495.00 |</t>
  </si>
  <si>
    <t xml:space="preserve">140493-7 CEL XIAOMI POCO X7 PRO 5G DS/512GB/12 6.67" 4K GREEN GLOB/UNI 285.00 |</t>
  </si>
  <si>
    <t xml:space="preserve">138868-8 CEL XIAOMI POCO X8 PRO 5G DS/256GB/8 6.59" 4K YELLOW GLOB/UNI 929.00 |</t>
  </si>
  <si>
    <t xml:space="preserve">134615-2 CEL XIAOMI POCO X8 PRO 5G DS/512GB/12 6.59" 4K BLACK GLOB/UNI 339.00 |</t>
  </si>
  <si>
    <t xml:space="preserve">135456-0 CEL XIAOMI POCO X8 PRO 5G DS/512GB/12 6.59" 4K GREEN GLOB/UNI 671.00 |</t>
  </si>
  <si>
    <t xml:space="preserve">138885-5 CEL XIAOMI POCO X8 PRO 5G DS/512GB/12 6.59" 4K YELLOW GLO/UNI 925.00 |</t>
  </si>
  <si>
    <t xml:space="preserve">141125-6 CEL XIAOMI POCO X8 PRO 5G DS/512GB/8 6.59" 4K GREEN GLOBA/UNI 457.00 |</t>
  </si>
  <si>
    <t xml:space="preserve">134833-0 CEL XIAOMI POCO X8 PRO 5G DS/512GB/8 6.59" 4K GREEN GLOBA/UNI 639.00 |</t>
  </si>
  <si>
    <t xml:space="preserve">141515-5 CEL XIAOMI POCO X8 PRO MAX 5G DS/256GB/12 6.83" BLACK GLO/UNI 849.00 |</t>
  </si>
  <si>
    <t xml:space="preserve">141516-2 CEL XIAOMI POCO X8 PRO MAX 5G DS/256GB/12 6.83" WHITE GLO/UNI 907.00 |</t>
  </si>
  <si>
    <t xml:space="preserve">133966-6 CEL XIAOMI POCO X8 PRO MAX 5G DS/512GB/12 6.83" 4K BLACK /UNI 171.75 |</t>
  </si>
  <si>
    <t xml:space="preserve">135157-6 CEL XIAOMI POCO X8 PRO MAX 5G DS/512GB/12 6.83" 4K BLACK /UNI 375.75 |</t>
  </si>
  <si>
    <t xml:space="preserve">135229-0 CEL XIAOMI POCO X8 PRO MAX 5G DS/512GB/12 6.83" 4K BLUE G/UNI 339.75 |</t>
  </si>
  <si>
    <t xml:space="preserve">134358-8 CEL XIAOMI POCO X8 PRO MAX 5G DS/512GB/12 6.83" 4K WHITE /UNI 529.75 |</t>
  </si>
  <si>
    <t xml:space="preserve">115462-7 CEL XIAOMI REDMI 13C 5G/6RAM/128GB 6.74" WHITE CH 4947 /UNI 163.75 |</t>
  </si>
  <si>
    <t xml:space="preserve">121461-1 CEL XIAOMI REDMI 14C DS/128GB/4 6.74" BLACK L.P CH (US) 4/UNI 573.75 |</t>
  </si>
  <si>
    <t xml:space="preserve">121462-8 CEL XIAOMI REDMI 14C DS/128GB/4 6.74" GREEN CH (US) 5099 /UNI 641.75 |</t>
  </si>
  <si>
    <t xml:space="preserve">121463-5 CEL XIAOMI REDMI 14C DS/128GB/4 6.74" SILVER CH (US) 5105/UNI 699.75 |</t>
  </si>
  <si>
    <t xml:space="preserve">122055-1 CEL XIAOMI REDMI 14C DS/256GB/8 6.74" BLACK CH (US) 9004 /UNI 393.75 |</t>
  </si>
  <si>
    <t xml:space="preserve">122056-8 CEL XIAOMI REDMI 14C DS/256GB/8 6.74" GREEN CH (US) 5167 /UNI 461.75 |</t>
  </si>
  <si>
    <t xml:space="preserve">121480-2 CEL XIAOMI REDMI 14C DS/256GB/8 6.74" SILVER CH (US) 5112/UNI 695.75 |</t>
  </si>
  <si>
    <t xml:space="preserve">138235-8 CEL XIAOMI REDMI 15 4G DS/256GB/8 6.9" GREY.T GLOBAL (BR)/UNI 647.00 |</t>
  </si>
  <si>
    <t xml:space="preserve">125755-7 CEL XIAOMI REDMI 15 4G DS/256GB/8 6.9" MIDNIGHT BLACK GLO/UNI 799.00 |</t>
  </si>
  <si>
    <t xml:space="preserve">125757-1 CEL XIAOMI REDMI 15 4G DS/256GB/8 6.9" SANDY PURPLE GLOBA/UNI 915.00 |</t>
  </si>
  <si>
    <t xml:space="preserve">138234-1 CEL XIAOMI REDMI 15 4G DS/256GB/8 6.9" SANDY PURPLE GLOBA/UNI 579.00 |</t>
  </si>
  <si>
    <t xml:space="preserve">138980-7 CEL XIAOMI REDMI 15 5G DS/128GB/4 6.9" BLACK *JP* SLIM /UNI 743.75 |</t>
  </si>
  <si>
    <t xml:space="preserve">138986-9 CEL XIAOMI REDMI 15 5G DS/128GB/4 6.9" GRAY *JP* SLIM /UNI 211.75 |</t>
  </si>
  <si>
    <t xml:space="preserve">138987-6 CEL XIAOMI REDMI 15 5G DS/128GB/4 6.9" GREEN *JP* SLIM /UNI 269.75 |</t>
  </si>
  <si>
    <t xml:space="preserve">125674-1 CEL XIAOMI REDMI 15C DS/128GB/4 6.9" BLACK GLOBAL (BR) /UNI 793.75 |</t>
  </si>
  <si>
    <t xml:space="preserve">135358-7 CEL XIAOMI REDMI 15C DS/128GB/4 6.9" BLACK GLOBAL (BR) L./UNI 679.75 |</t>
  </si>
  <si>
    <t xml:space="preserve">128982-4 CEL XIAOMI REDMI 15C DS/128GB/4 6.9" BLACK GLOBAL (US) /UNI 681.75 |</t>
  </si>
  <si>
    <t xml:space="preserve">138578-6 CEL XIAOMI REDMI 15C DS/128GB/4 6.9" BLUE GLOBAL (ARG) /UNI 655.75 |</t>
  </si>
  <si>
    <t xml:space="preserve">125792-2 CEL XIAOMI REDMI 15C DS/128GB/4 6.9" BLUE GLOBAL (BR) /UNI 75.75 |</t>
  </si>
  <si>
    <t xml:space="preserve">135417-1 CEL XIAOMI REDMI 15C DS/128GB/4 6.9" BLUE GLOBAL (BR) L.P/UNI 369.75 |</t>
  </si>
  <si>
    <t xml:space="preserve">128983-1 CEL XIAOMI REDMI 15C DS/128GB/4 6.9" BLUE GLOBAL (US) /UNI 739.75 |</t>
  </si>
  <si>
    <t xml:space="preserve">135412-6 CEL XIAOMI REDMI 15C DS/128GB/4 6.9" GREEN GLOBAL (ARG) /UNI 69.75 |</t>
  </si>
  <si>
    <t xml:space="preserve">131848-7 CEL XIAOMI REDMI 15C DS/128GB/4 6.9" GREEN GLOBAL (US) /UNI 589.75 |</t>
  </si>
  <si>
    <t xml:space="preserve">140835-5 CEL XIAOMI REDMI 15C DS/128GB/4 6.9" GREEN GLOBAL NFC (BR/UNI 343.75 |</t>
  </si>
  <si>
    <t xml:space="preserve">135455-3 CEL XIAOMI REDMI 15C DS/128GB/4 6.9" ORANGE GLOBAL NFC (B/UNI 613.75 |</t>
  </si>
  <si>
    <t xml:space="preserve">136684-6 CEL XIAOMI REDMI A5 DS/128GB/4 6.88" LAKE GREEN GLOBAL (B/UNI 321.75 |</t>
  </si>
  <si>
    <t xml:space="preserve">138718-6 CEL XIAOMI REDMI A7 PRO DS/64GB/4 6.9" MIST BLUE GLOBAL (/UNI 351.00 |</t>
  </si>
  <si>
    <t xml:space="preserve">117197-6 CEL XIAOMI REDMI NOTE 12 PRO+5G DS/256GB/8 6.67" BLACK CH/UNI 679.00 |</t>
  </si>
  <si>
    <t xml:space="preserve">117198-3 CEL XIAOMI REDMI NOTE 12 PRO+5G DS/256GB/8 6.67" BLUE CH /UNI 737.00 |</t>
  </si>
  <si>
    <t xml:space="preserve">117199-0 CEL XIAOMI REDMI NOTE 12 PRO+5G DS/256GB/8 6.67" WHITE CH/UNI 795.00 |</t>
  </si>
  <si>
    <t xml:space="preserve">141356-4 CEL XIAOMI REDMI NOTE 14 5G DS/256GB/8 6.67" CRIMSON ART /UNI 131.00 |</t>
  </si>
  <si>
    <t xml:space="preserve">138988-3 CEL XIAOMI REDMI NOTE 14 5G DS/256GB/8 6.67" WHITE INDIA /UNI 327.00 |</t>
  </si>
  <si>
    <t xml:space="preserve">125017-6 CEL XIAOMI REDMI NOTE 14 PRO 5G DS/256GB/8 6.67" BLACK CH/UNI 609.75 |</t>
  </si>
  <si>
    <t xml:space="preserve">116794-8 CEL XIAOMI REDMI NOTE 14 PRO 5G DS/256GB/8 6.67" C.GREEN /UNI 173.00 |</t>
  </si>
  <si>
    <t xml:space="preserve">118173-9 CEL XIAOMI REDMI NOTE 14 PRO 5G DS/256GB/8 6.67" C.GREEN /UNI 407.75 |</t>
  </si>
  <si>
    <t xml:space="preserve">125019-0 CEL XIAOMI REDMI NOTE 14 PRO 5G DS/256GB/8 6.67" GREEN CH/UNI 725.75 |</t>
  </si>
  <si>
    <t xml:space="preserve">125020-6 CEL XIAOMI REDMI NOTE 14 PRO 5G DS/256GB/8 6.67" PURPLE C/UNI 273.75 |</t>
  </si>
  <si>
    <t xml:space="preserve">125018-3 CEL XIAOMI REDMI NOTE 14 PRO 5G DS/256GB/8 6.67" WHITE CH/UNI 667.75 |</t>
  </si>
  <si>
    <t xml:space="preserve">139497-9 CEL XIAOMI REDMI NOTE 14 PRO 5G DS/512GB/12 6.67" GREEN G/UNI 809.00 |</t>
  </si>
  <si>
    <t xml:space="preserve">139499-3 CEL XIAOMI REDMI NOTE 14 PRO 5G DS/512GB/12 6.67" PURPLE /UNI 925.75 |</t>
  </si>
  <si>
    <t xml:space="preserve">139490-0 CEL XIAOMI REDMI NOTE 14 PRO+5G DS/256GB/12 6.67" GREEN C/UNI 373.75 |</t>
  </si>
  <si>
    <t xml:space="preserve">125124-1 CEL XIAOMI REDMI NOTE 14 PRO+5G DS/256GB/12 6.67" GREEN S/UNI 633.75 |</t>
  </si>
  <si>
    <t xml:space="preserve">138331-7 CEL XIAOMI REDMI NOTE 14 PRO+5G DS/256GB/12 6.67" PURPLE /UNI 523.75 |</t>
  </si>
  <si>
    <t xml:space="preserve">118802-8 CEL XIAOMI REDMI NOTE 14 PRO+5G DS/256GB/12 6.67" WHITE C/UNI 555.75 |</t>
  </si>
  <si>
    <t xml:space="preserve">116991-1 CEL XIAOMI REDMI NOTE 14 PRO+5G DS/256GB/8 6.67" PURPLE G/UNI 225.75 |</t>
  </si>
  <si>
    <t xml:space="preserve">138577-9 CEL XIAOMI REDMI NOTE 14 PRO+5G DS/256GB/8 6.67" PURPLE G/UNI 597.75 |</t>
  </si>
  <si>
    <t xml:space="preserve">132055-8 CEL XIAOMI REDMI NOTE 14 PRO+5G DS/512GB/12 6.67" GREEN C/UNI 581.75 |</t>
  </si>
  <si>
    <t xml:space="preserve">118805-9 CEL XIAOMI REDMI NOTE 14 PRO+5G DS/512GB/12 6.67" WHITE C/UNI 739.75 |</t>
  </si>
  <si>
    <t xml:space="preserve">119951-2 CEL XIAOMI REDMI NOTE 14S 4G DS/512GB/12 6.67" BLACK GLOB/UNI 315.00 |</t>
  </si>
  <si>
    <t xml:space="preserve">131347-5 CEL XIAOMI REDMI NOTE 15 4G DS/256GB/8 6.77" BLACK GLOBAL/UNI 821.75 |</t>
  </si>
  <si>
    <t xml:space="preserve">132807-3 CEL XIAOMI REDMI NOTE 15 4G DS/256GB/8 6.77" BLACK GLOBAL/UNI 311.75 |</t>
  </si>
  <si>
    <t xml:space="preserve">131427-4 CEL XIAOMI REDMI NOTE 15 4G DS/256GB/8 6.77" GLA.BLUE (BR/UNI 759.75 |</t>
  </si>
  <si>
    <t xml:space="preserve">133806-5 CEL XIAOMI REDMI NOTE 15 4G DS/256GB/8 6.77" GLA.BLUE (US/UNI 403.75 |</t>
  </si>
  <si>
    <t xml:space="preserve">138693-6 CEL XIAOMI REDMI NOTE 15 4G DS/256GB/8 6.77" PURPLE GLOBA/UNI 653.75 |</t>
  </si>
  <si>
    <t xml:space="preserve">131349-9 CEL XIAOMI REDMI NOTE 15 4G DS/256GB/8 6.77" PURPLE GLOBA/UNI 947.75 |</t>
  </si>
  <si>
    <t xml:space="preserve">136721-8 CEL XIAOMI REDMI NOTE 15 PRO 4G DS/256GB/8 6.83" BLACK GL/UNI 615.75 |</t>
  </si>
  <si>
    <t xml:space="preserve">139234-0 CEL XIAOMI REDMI NOTE 15 PRO 4G DS/256GB/8 6.83" BLUE GLO/UNI 729.75 |</t>
  </si>
  <si>
    <t xml:space="preserve">131354-3 CEL XIAOMI REDMI NOTE 15 PRO 4G DS/256GB/8 6.83" BLUE GLO/UNI 727.75 |</t>
  </si>
  <si>
    <t xml:space="preserve">139235-7 CEL XIAOMI REDMI NOTE 15 PRO 4G DS/256GB/8 6.83" TITANIUM/UNI 797.75 |</t>
  </si>
  <si>
    <t xml:space="preserve">131355-0 CEL XIAOMI REDMI NOTE 15 PRO 4G DS/256GB/8 6.83" TITANIUM/UNI 785.75 |</t>
  </si>
  <si>
    <t xml:space="preserve">136722-5 CEL XIAOMI REDMI NOTE 15 PRO 4G DS/256GB/8 6.83" TITANIUM/UNI 673.75 |</t>
  </si>
  <si>
    <t xml:space="preserve">134618-3 CEL XIAOMI REDMI NOTE 15 PRO 4G DS/512GB/12 6.83" BLACK G/UNI 523.75 |</t>
  </si>
  <si>
    <t xml:space="preserve">134619-0 CEL XIAOMI REDMI NOTE 15 PRO 4G DS/512GB/12 6.83" BLUE GL/UNI 581.75 |</t>
  </si>
  <si>
    <t xml:space="preserve">131356-7 CEL XIAOMI REDMI NOTE 15 PRO 5G DS/256GB/8 6.83" BLACK GL/UNI 853.75 |</t>
  </si>
  <si>
    <t xml:space="preserve">135123-1 CEL XIAOMI REDMI NOTE 15 PRO 5G DS/256GB/8 6.83" BLACK GL/UNI 753.00 |</t>
  </si>
  <si>
    <t xml:space="preserve">141291-8 CEL XIAOMI REDMI NOTE 15 PRO 5G DS/256GB/8 6.83" BLACK GL/UNI 73.00 |</t>
  </si>
  <si>
    <t xml:space="preserve">131358-1 CEL XIAOMI REDMI NOTE 15 PRO 5G DS/256GB/8 6.83" BLUE GLO/UNI 69.75 |</t>
  </si>
  <si>
    <t xml:space="preserve">135124-8 CEL XIAOMI REDMI NOTE 15 PRO 5G DS/256GB/8 6.83" BLUE GLO/UNI 821.00 |</t>
  </si>
  <si>
    <t xml:space="preserve">134031-0 CEL XIAOMI REDMI NOTE 15 PRO 5G DS/256GB/8 6.83" BLUE GLO/UNI 449.75 |</t>
  </si>
  <si>
    <t xml:space="preserve">141293-2 CEL XIAOMI REDMI NOTE 15 PRO 5G DS/256GB/8 6.83" CYAN GLO/UNI 189.00 |</t>
  </si>
  <si>
    <t xml:space="preserve">141294-9 CEL XIAOMI REDMI NOTE 15 PRO 5G DS/256GB/8 6.83" PURPLE G/UNI 257.00 |</t>
  </si>
  <si>
    <t xml:space="preserve">131360-4 CEL XIAOMI REDMI NOTE 15 PRO 5G DS/256GB/8 6.83" TITANIUM/UNI 575.75 |</t>
  </si>
  <si>
    <t xml:space="preserve">139661-4 CEL XIAOMI REDMI NOTE 15 PRO 5G DS/256GB/8 6.83" TITANIUM/UNI 407.00 |</t>
  </si>
  <si>
    <t xml:space="preserve">141292-5 CEL XIAOMI REDMI NOTE 15 PRO 5G DS/256GB/8 6.83" WHITE GL/UNI 131.00 |</t>
  </si>
  <si>
    <t xml:space="preserve">139792-5 CEL XIAOMI REDMI NOTE 15 PRO 5G DS/512GB/12 6.83" BLACK G/UNI 863.75 |</t>
  </si>
  <si>
    <t xml:space="preserve">139793-2 CEL XIAOMI REDMI NOTE 15 PRO 5G DS/512GB/12 6.83" PURPLE /UNI 921.75 |</t>
  </si>
  <si>
    <t xml:space="preserve">141057-0 CEL XIAOMI REDMI NOTE 15 PRO 5G DS/512GB/12 6.83" TITANIU/UNI 725.75 |</t>
  </si>
  <si>
    <t xml:space="preserve">140513-2 CEL XIAOMI REDMI NOTE 15 PRO 5G DS/512GB/8 6.83" BLACK GL/UNI 573.75 |</t>
  </si>
  <si>
    <t xml:space="preserve">133994-9 CEL XIAOMI REDMI NOTE 15 PRO 5G DS/512GB/8 6.83" BLUE GLO/UNI 325.00 |</t>
  </si>
  <si>
    <t xml:space="preserve">139484-9 CEL XIAOMI REDMI NOTE 15 PRO+ 5G DS/256GB/12 6.83" BLACK /UNI 535.00 |</t>
  </si>
  <si>
    <t xml:space="preserve">139487-0 CEL XIAOMI REDMI NOTE 15 PRO+ 5G DS/256GB/12 6.83" PURPLE/UNI 709.00 |</t>
  </si>
  <si>
    <t xml:space="preserve">139485-6 CEL XIAOMI REDMI NOTE 15 PRO+ 5G DS/256GB/12 6.83" WHITE /UNI 593.00 |</t>
  </si>
  <si>
    <t xml:space="preserve">131366-6 CEL XIAOMI REDMI NOTE 15 PRO+ 5G DS/256GB/8 6.83" BLACK G/UNI 943.00 |</t>
  </si>
  <si>
    <t xml:space="preserve">137760-6 CEL XIAOMI REDMI NOTE 15 PRO+ 5G DS/256GB/8 6.83" BLACK G/UNI 167.00 |</t>
  </si>
  <si>
    <t xml:space="preserve">141169-0 CEL XIAOMI REDMI NOTE 15 PRO+ 5G DS/256GB/8 6.83" BLACK G/UNI 159.00 |</t>
  </si>
  <si>
    <t xml:space="preserve">141170-6 CEL XIAOMI REDMI NOTE 15 PRO+ 5G DS/256GB/8 6.83" BLUE GL/UNI 607.00 |</t>
  </si>
  <si>
    <t xml:space="preserve">136046-2 CEL XIAOMI REDMI NOTE 15 PRO+ 5G DS/512GB/12 6.83" BLACK /UNI 249.75 |</t>
  </si>
  <si>
    <t xml:space="preserve">131370-3 CEL XIAOMI REDMI NOTE 15 PRO+ 5G DS/512GB/12 6.83" BLUE G/UNI 665.75 |</t>
  </si>
  <si>
    <t xml:space="preserve">136048-6 CEL XIAOMI REDMI NOTE 15 PRO+ 5G DS/512GB/12 6.83" BLUE G/UNI 375.75 |</t>
  </si>
  <si>
    <t xml:space="preserve">137907-5 CEL REALME 12 5G RMX3999 DS/256GB/8 6.72" T. PURPLE AN *P/UNI 289.00 |</t>
  </si>
  <si>
    <t xml:space="preserve">120283-0 CEL REALME 14 RMX5070 5G DS/256GB/12 6.67" SILVER AN /UNI 483.00 |</t>
  </si>
  <si>
    <t xml:space="preserve">120282-3 CEL REALME 14 RMX5070 5G DS/256GB/12 6.67" STORM.T AN /UNI 425.00 |</t>
  </si>
  <si>
    <t xml:space="preserve">120837-5 CEL REALME 14 RMX5070 5G DS/256GB/8 6.67" STORM.T AN /UNI 103.00 |</t>
  </si>
  <si>
    <t xml:space="preserve">132490-7 CEL REALME 14 RMX5070 5G DS/512GB/12 6.67" SILVER AN /UNI 223.00 |</t>
  </si>
  <si>
    <t xml:space="preserve">136571-9 CEL REALME C100I RMX5377 DS/128GB/4 6.8" DAWN PURPLE NFC /UNI 829.00 |</t>
  </si>
  <si>
    <t xml:space="preserve">136572-6 CEL REALME C100I RMX5377 DS/128GB/4 6.8" DUSK GRAY NFC AN/UNI 887.00 |</t>
  </si>
  <si>
    <t xml:space="preserve">139372-9 CEL REALME C100X RMX5366 DS/256GB/4 6.8" DEEPBLUE TIDES N/UNI 201.00 |</t>
  </si>
  <si>
    <t xml:space="preserve">139373-6 CEL REALME C100X RMX5366 DS/256GB/4 6.8" GOLDEN COAST NFC/UNI 259.00 |</t>
  </si>
  <si>
    <t xml:space="preserve">138690-5 CEL REALME C100X RMX5366 DS/256GB/8 6.8" DEEPBLUE TIDES N/UNI 469.00 |</t>
  </si>
  <si>
    <t xml:space="preserve">138691-2 CEL REALME C100X RMX5366 DS/256GB/8 6.8" GOLDEN COAST NFC/UNI 527.00 |</t>
  </si>
  <si>
    <t xml:space="preserve">126221-6 CEL REALME C71 RMX3943 5G DS/128GB/6 6.72" CARBON BLACK A/UNI 727.00 |</t>
  </si>
  <si>
    <t xml:space="preserve">126222-3 CEL REALME C71 RMX3943 5G DS/128GB/6 6.72" PERIDOT GREEN /UNI 785.00 |</t>
  </si>
  <si>
    <t xml:space="preserve">127314-4 CEL REALME C71 RMX3943 5G DS/256GB/8 6.67" BLACK AN /UNI 189.00 |</t>
  </si>
  <si>
    <t xml:space="preserve">126147-9 CEL REALME C71 RMX5303 DS/128GB/4 6.67" FOREST OWL NFC AN/UNI 257.00 |</t>
  </si>
  <si>
    <t xml:space="preserve">125495-2 CEL REALME C71 RMX5303 DS/128GB/4 6.67" WHITE NFC AN /UNI 795.00 |</t>
  </si>
  <si>
    <t xml:space="preserve">125222-4 CEL REALME C71 RMX5303 DS/256GB/8 6.67" FOREST OWL (BR) N/UNI 635.00 |</t>
  </si>
  <si>
    <t xml:space="preserve">125221-7 CEL REALME C71 RMX5303 DS/256GB/8 6.67" WHITE SWAN (BR) N/UNI 577.00 |</t>
  </si>
  <si>
    <t xml:space="preserve">116228-8 CEL REALME GT7 PRO RMX5011 5G DS/512GB/12 6.78" GALAXY GR/UNI 75.00 |</t>
  </si>
  <si>
    <t xml:space="preserve">131212-6 CEL REALME GT8 PRO RMX5210 5G DS/512GB/16 6.79" DIARY WHI/UNI 123.00 |</t>
  </si>
  <si>
    <t xml:space="preserve">131213-3 CEL REALME GT8 PRO RMX5210 5G DS/512GB/16 6.79" URBAN BLU/UNI 181.00 |</t>
  </si>
  <si>
    <t xml:space="preserve">135397-6 CEL REALME NOTE 60X RMX3938 DS/64GB/4 6.7" BLACK AN (BR) /UNI 81.00 |</t>
  </si>
  <si>
    <t xml:space="preserve">138919-7 CEL REALME P4 LITE RMX5377 DS/128GB/4 6.74" GREY.T AN /UNI 655.00 |</t>
  </si>
  <si>
    <t xml:space="preserve">138918-0 CEL REALME P4 LITE RMX5377 DS/128GB/4 6.74" PULSE PURPLE /UNI 587.00 |</t>
  </si>
  <si>
    <t xml:space="preserve">9910-3 SWAP IPHONE 13 128GB RED TELA TROCADA A / 87.00 |</t>
  </si>
  <si>
    <t xml:space="preserve">126343-5 CEL SAMSUNG A07 SM-A075F DS/64GB/4 6.7" GREEN SLIM /UNI 251.00 |</t>
  </si>
  <si>
    <t xml:space="preserve">114954-8 CEL SAMSUNG A16 SM-A165M DS/128GB/4 6.7" BLACK SLIM GLOBA/UNI 649.00 |</t>
  </si>
  <si>
    <t xml:space="preserve">138318-8 CEL SAMSUNG A16 SM-A165M DS/128GB/4 6.7" BLACK SLIM GLOBA/UNI 769.00 |</t>
  </si>
  <si>
    <t xml:space="preserve">114952-4 CEL SAMSUNG A16 SM-A165M DS/128GB/4 6.7" LIGHT GREEN SLIM/UNI 523.00 |</t>
  </si>
  <si>
    <t xml:space="preserve">127599-5 CEL SAMSUNG A17 SM-A175F DS/256GB/8 6.7" BLACK SLIM GLOBA/UNI 565.00 |</t>
  </si>
  <si>
    <t xml:space="preserve">127601-5 CEL SAMSUNG A17 SM-A175F DS/256GB/8 6.7" GREY SLIM GLOBAL/UNI 279.00 |</t>
  </si>
  <si>
    <t xml:space="preserve">130491-6 CEL SAMSUNG A17 SM-A176B 5G DS/128GB/4 6.7" BLACK SLIM /UNI 881.00 |</t>
  </si>
  <si>
    <t xml:space="preserve">138805-3 CEL SAMSUNG A27 SM-A276B 5G DS/256GB/8 6.7" BLACK SLIM /UNI 195.00 |</t>
  </si>
  <si>
    <t xml:space="preserve">138810-7 CEL SAMSUNG A27 SM-A276B 5G DS/256GB/8 6.7" BLUE SLIM /UNI 885.00 |</t>
  </si>
  <si>
    <t xml:space="preserve">136016-5 CEL SAMSUNG A31 A315F DS/128GB/4 6.4" BLACK CX.F /UNI 879.00 |</t>
  </si>
  <si>
    <t xml:space="preserve">119936-9 CEL SAMSUNG A36 A366E 5G DS/256GB/8 6.6" BLACK SLIM /UNI 445.00 |</t>
  </si>
  <si>
    <t xml:space="preserve">119471-5 CEL SAMSUNG A56 A566E 5G DS/128GB/8 6.7" AWESOME LIGHT GR/UNI 795.00 |</t>
  </si>
  <si>
    <t xml:space="preserve">119829-4 CEL SAMSUNG A56 A566E 5G DS/128GB/8 6.7" AWESOME PINK SLI/UNI 411.00 |</t>
  </si>
  <si>
    <t xml:space="preserve">134261-1 CEL SAMSUNG A57 A576B 5G DS/512GB/12 6.7" GREY SLIM /UNI 65.00 |</t>
  </si>
  <si>
    <t xml:space="preserve">134260-4 CEL SAMSUNG A57 A576B 5G DS/512GB/12 6.7" NAVY BLUE SLIM /UNI 907.00 |</t>
  </si>
  <si>
    <t xml:space="preserve">132811-0 CEL SAMSUNG F17 SME176B 5G DS/128GB/4 6.7" VIOLET SLIM /UNI 933.50 |</t>
  </si>
  <si>
    <t xml:space="preserve">134241-3 CEL SAMSUNG S25 SM-S931B 5G DS/512GB/12 6.2" NAVY SLIM /UNI 785.00 |</t>
  </si>
  <si>
    <t xml:space="preserve">117394-9 CEL SAMSUNG S25 ULTRA SM-S938B 5G DS/512GB/12 6.9" WHITE /UNI 741.00 |</t>
  </si>
  <si>
    <t xml:space="preserve">117619-3 CEL SAMSUNG S25+ SM-S936B 5G DS/256GB/12 6.6" NAVY SLIM /UNI 675.00 |</t>
  </si>
  <si>
    <t xml:space="preserve">137731-6 CEL SAMSUNG S25+ SM-S936W 5G DS/512GB/12 6.6" CORAL RED S/UNI 855.00 |</t>
  </si>
  <si>
    <t xml:space="preserve">140915-4 CEL SAMSUNG S25+ SM-S936W 5G DS/512GB/12 6.6" PINK SLIM A/UNI 281.00 |</t>
  </si>
  <si>
    <t xml:space="preserve">135079-1 CEL SAMSUNG Z FLIP7 FE SM-F761B 5G DS/256GB/8 7.6" BLACK /UNI 553.00 |</t>
  </si>
  <si>
    <t xml:space="preserve">139723-9 CEL SAMSUNG Z FLIP7 FE SM-F761B 5G DS/256GB/8 7.6" WHITE /UNI 291.90 |</t>
  </si>
  <si>
    <t xml:space="preserve">130734-4 CEL MOTOROLA EDGE 50 FUSION 2429-2 5G DS/256GB/8 6.52" F./UNI 879.00 |</t>
  </si>
  <si>
    <t xml:space="preserve">136699-0 CEL MOTOROLA EDGE 70 FUSION X2605-3 5G DS/256GB/8 CELESTE/UNI 711.00 |</t>
  </si>
  <si>
    <t xml:space="preserve">135704-2 CEL MOTOROLA EDGE 70 FUSION X2605-3 5G DS/256GB/8 GREEN (/UNI 459.00 |</t>
  </si>
  <si>
    <t xml:space="preserve">136713-3 CEL MOTOROLA EDGE 70 FUSION X2605-4 5G DS/256GB/8 6.78" C/UNI 641.00 |</t>
  </si>
  <si>
    <t xml:space="preserve">136714-0 CEL MOTOROLA EDGE 70 FUSION X2605-4 5G DS/256GB/8 6.78" G/UNI 699.00 |</t>
  </si>
  <si>
    <t xml:space="preserve">140780-8 CEL MOTOROLA EDGE 70 PRO XT2607-1 5G DS/512GB/12 BLUE (BR/UNI 375.00 |</t>
  </si>
  <si>
    <t xml:space="preserve">140781-5 CEL MOTOROLA EDGE 70 PRO XT2607-1 5G DS/512GB/12 WHITE (B/UNI 433.00 |</t>
  </si>
  <si>
    <t xml:space="preserve">137237-3 CEL MOTOROLA EDGE 70 XT2601-2 5G DS/512GB/12 6.7" GADGET /UNI 613.00 |</t>
  </si>
  <si>
    <t xml:space="preserve">136659-4 CEL MOTOROLA EDGE 70 XT2601-3 5G DS/512GB/12 6.7" GADGET /UNI 351.00 |</t>
  </si>
  <si>
    <t xml:space="preserve">133567-5 CEL MOTOROLA EDGE 70 XT2601-3 5G DS/512GB/12 6.7" LILY PA/UNI 647.00 |</t>
  </si>
  <si>
    <t xml:space="preserve">135121-7 CEL MOTOROLA EDGE 70 XT2601-4 5G DS/256GB/8 BRONZE GREEN /UNI 637.00 |</t>
  </si>
  <si>
    <t xml:space="preserve">136857-4 CEL MOTOROLA EDGE 70 XT2601-4 5G DS/256GB/8 BRONZE GREEN /UNI 471.00 |</t>
  </si>
  <si>
    <t xml:space="preserve">136859-8 CEL MOTOROLA EDGE 70 XT2601-4 5G DS/256GB/8 LILY PAD EUR /UNI 597.00 |</t>
  </si>
  <si>
    <t xml:space="preserve">113147-5 CEL MOTOROLA G04S XT-2421-7 DS/256GB/4 6.56" BLUE (US) /UNI 519.00 |</t>
  </si>
  <si>
    <t xml:space="preserve">113148-2 CEL MOTOROLA G04S XT-2421-7 DS/256GB/4 6.56" GREEN (US) /UNI 577.00 |</t>
  </si>
  <si>
    <t xml:space="preserve">121398-0 CEL MOTOROLA G05 XT-2523-2 DS/128GB/4 6.56" RED (US) /UNI 251.00 |</t>
  </si>
  <si>
    <t xml:space="preserve">140879-9 CEL MOTOROLA G05 XT-2523-3 DS/128GB/8 6.56" DENIM BLUE SL/UNI 55.00 |</t>
  </si>
  <si>
    <t xml:space="preserve">131604-9 CEL MOTOROLA G06 XT-2535-2 DS/128GB/4 6.9" GREEN (BR) /UNI 641.00 |</t>
  </si>
  <si>
    <t xml:space="preserve">131606-3 CEL MOTOROLA G06 XT-2535-2 DS/64GB/4 6.9" BLUE (BR) /UNI 757.00 |</t>
  </si>
  <si>
    <t xml:space="preserve">140687-0 CEL MOTOROLA G06 XT-2535-2 DS/64GB/4 6.9" BLUE (US) /UNI 673.00 |</t>
  </si>
  <si>
    <t xml:space="preserve">131605-6 CEL MOTOROLA G06 XT-2535-2 DS/64GB/4 6.9" ORANGE (BR) /UNI 699.00 |</t>
  </si>
  <si>
    <t xml:space="preserve">138969-2 CEL MOTOROLA G06 XT-2535-2 DS/64GB/4 6.9" VERDE (US) /UNI 205.00 |</t>
  </si>
  <si>
    <t xml:space="preserve">121985-2 CEL MOTOROLA G15 XT-2521-2 DS/256GB/4 6.72" GREEN (BR) /UNI 705.00 |</t>
  </si>
  <si>
    <t xml:space="preserve">130153-3 CEL MOTOROLA G15 XT-2521-2 DS/256GB/4 6.72" ORANGE (BR) /UNI 273.00 |</t>
  </si>
  <si>
    <t xml:space="preserve">138972-2 CEL MOTOROLA G15 XT-2521-2 DS/512GB/4 6.72" AZUL (US) /UNI 769.00 |</t>
  </si>
  <si>
    <t xml:space="preserve">138737-7 CEL MOTOROLA G17 POWER XT2623-5 DS/256GB/8 6.72" ALASKAN /UNI 473.00 |</t>
  </si>
  <si>
    <t xml:space="preserve">138738-4 CEL MOTOROLA G17 POWER XT2623-5 DS/256GB/8 6.72" EVENING /UNI 531.00 |</t>
  </si>
  <si>
    <t xml:space="preserve">140367-1 CEL MOTOROLA G17 XT2623-1 DS/128GB/4 6.72" ALASKAN BLUE (/UNI 129.00 |</t>
  </si>
  <si>
    <t xml:space="preserve">140368-8 CEL MOTOROLA G17 XT2623-1 DS/128GB/4 6.72" BORDEAUX ROSA /UNI 197.00 |</t>
  </si>
  <si>
    <t xml:space="preserve">140369-5 CEL MOTOROLA G17 XT2623-1 DS/128GB/4 6.72" EVENING BLUE (/UNI 255.00 |</t>
  </si>
  <si>
    <t xml:space="preserve">136001-1 CEL MOTOROLA G17 XT2623-1 DS/256GB/4 6.72" BORDEAUX ROSA /UNI 479.00 |</t>
  </si>
  <si>
    <t xml:space="preserve">122685-0 CEL MOTOROLA G35 XT-2433-2 5G DS/256GB/4 6.52" BLACK (BR)/UNI 491.00 |</t>
  </si>
  <si>
    <t xml:space="preserve">124003-0 CEL MOTOROLA G35 XT-2433-2 5G DS/256GB/4 6.52" BLACK (US)/UNI 117.00 |</t>
  </si>
  <si>
    <t xml:space="preserve">141056-3 CEL MOTOROLA G35 XT-2433-2 5G DS/256GB/4 6.52" GREEN (BR)/UNI 667.00 |</t>
  </si>
  <si>
    <t xml:space="preserve">138973-9 CEL MOTOROLA G67 XT2621-1 DS/256GB/4 6.78" GRIS (US) /UNI 837.00 |</t>
  </si>
  <si>
    <t xml:space="preserve">134857-6 CEL MOTOROLA G67 XT2621-1 DS/256GB/4 6.78" LIMA (BR) /UNI 171.00 |</t>
  </si>
  <si>
    <t xml:space="preserve">136701-0 CEL MOTOROLA G67 XT2621-1 DS/256GB/4 6.78" LIMA (US) /UNI 425.00 |</t>
  </si>
  <si>
    <t xml:space="preserve">138975-3 CEL MOTOROLA G77 XT2621-3 DS/256GB/8 6.78" BLACK OLIVE CA/UNI 53.00 |</t>
  </si>
  <si>
    <t xml:space="preserve">136583-2 CEL MOTOROLA G86 XT-2527-2 5G DS/256GB/8 6.67" PINK SLIM /UNI 135.00 |</t>
  </si>
  <si>
    <t xml:space="preserve">125172-2 CEL MOTOROLA RAZR 40 ULTRA XT2321-1 ESIM+SS/512GB/12 VIVA/UNI 67.00 |</t>
  </si>
  <si>
    <t xml:space="preserve">134310-6 CEL MOTOROLA RAZR 50 XT2453-1 5G DS/512GB/12 6.9" GREY CA/UNI 575.00 |</t>
  </si>
  <si>
    <t xml:space="preserve">134311-3 CEL MOTOROLA RAZR 50 XT2453-1 5G DS/512GB/12 6.9" ORANGE /UNI 633.00 |</t>
  </si>
  <si>
    <t xml:space="preserve">138801-5 CEL SAMSUNG S26 ULTRA SM-S948B 5G DS/1TB/16 6.9" PINK GOL/UNI 853.00 |</t>
  </si>
  <si>
    <t xml:space="preserve">140716-7 CEL SAMSUNG Z FOLD8 SM-F971B 5G DS/256GB/12 8.0" LAVENDER/UNI 103.00 |</t>
  </si>
  <si>
    <t xml:space="preserve">140718-1 CEL SAMSUNG Z FOLD8 SM-F971B 5G DS/512GB/12 8.0" CREAM /UNI 219.00 |</t>
  </si>
  <si>
    <t xml:space="preserve">140719-8 CEL SAMSUNG Z FOLD8 SM-F971B 5G DS/512GB/12 8.0" GRAPHITE/UNI 287.00 |</t>
  </si>
  <si>
    <t xml:space="preserve">140717-4 CEL SAMSUNG Z FOLD8 SM-F971B 5G DS/512GB/12 8.0" LAVENDER/UNI 161.00 |</t>
  </si>
  <si>
    <t xml:space="preserve">140721-1 CEL SAMSUNG Z FOLD8 ULTRA SM-F976B 5G DS/256GB/12 CREAM /UNI 783.00 |</t>
  </si>
  <si>
    <t xml:space="preserve">140720-4 CEL SAMSUNG Z FOLD8 ULTRA SM-F976B 5G DS/256GB/12 GRAPHIT/UNI 725.00 |</t>
  </si>
  <si>
    <t xml:space="preserve">140722-8 CEL SAMSUNG Z FOLD8 ULTRA SM-F976B 5G DS/256GB/12 VIOLET /UNI 851.00 |</t>
  </si>
  <si>
    <t xml:space="preserve">138889-3 CEL XIAOMI 17 ULTRA DS/512GB/16 6.3" 4K 50/50MXP WHITE GL/UNI 267.00 |</t>
  </si>
  <si>
    <t xml:space="preserve">135466-9 CEL XIAOMI 17 ULTRA LEICA DS/1TB/16 6.3" 4K 50/50MXP BEIG/UNI 771.00 |</t>
  </si>
  <si>
    <t xml:space="preserve">135467-6 CEL XIAOMI 17 ULTRA LEICA DS/1TB/16 6.3" 4K 50/50MXP BLAC/UNI 829.00 |</t>
  </si>
  <si>
    <t xml:space="preserve">135465-2 CEL XIAOMI 17 ULTRA LEICA DS/512GB/16 6.3" 4K 50/50MXP BE/UNI 703.00 |</t>
  </si>
  <si>
    <t xml:space="preserve">135464-5 CEL XIAOMI 17 ULTRA LEICA DS/512GB/16 6.3" 4K 50/50MXP BL/UNI 645.00 |</t>
  </si>
  <si>
    <t xml:space="preserve">134122-5 APPLE IPAD AIR M4 MH5V4LL/A WIFI 256GB 13" - BLUE *2026* /UNI 545.00 |</t>
  </si>
  <si>
    <t xml:space="preserve">134124-9 APPLE IPAD AIR M4 MH5W4LL/A WIFI 256GB 13" - STARLIGHT *2/UNI 671.00 |</t>
  </si>
  <si>
    <t xml:space="preserve">130716-0 APPLE IPAD PRO M5 MDWM4LL/A WIFI 512GB 11" SPACE BLACK (2/UNI 815.00 |</t>
  </si>
  <si>
    <t xml:space="preserve">130271-4 APPLE IPAD PRO M5 MDWN4LL/A WIFI 512GB 11" SILVER (2025) /UNI 455.00 |</t>
  </si>
  <si>
    <t xml:space="preserve">129278-7 APPLE IPAD PRO M5 MDYJ4LL/A WIFI 256GB 13" SPACE BLACK (2/UNI 263.00 |</t>
  </si>
  <si>
    <t xml:space="preserve">130267-7 APPLE IPAD PRO M5 MDYK4LL/A WIFI 256GB 13" SILVER (2025)/UNI 733.00 |</t>
  </si>
  <si>
    <t xml:space="preserve">129279-4 APPLE IPAD PRO M5 MDYL4LL/A WIFI 512GB 13" SPACE BLACK (2/UNI 321.00 |</t>
  </si>
  <si>
    <t xml:space="preserve">103127-0 NB APPLE M3 MAX MRX53LL/A 36GB/1TB/14" - SPACE BLACK *202/UNI 151.00 |</t>
  </si>
  <si>
    <t xml:space="preserve">102866-9 NB APPLE M3 MAX MRX83LL/A 36GB/1TB/14" - SILVER *2023* /UNI 259.00 |</t>
  </si>
  <si>
    <t xml:space="preserve">103128-7 NB APPLE M3 PRO MRW13LL/A 18GB/512GB/16.2 - SPACE BLACK */UNI 219.00 |</t>
  </si>
  <si>
    <t xml:space="preserve">102361-9 NB APPLE M3 PRO MRX43LL/A 18GB/1TB/14" - SPACE BLACK *202/UNI 249.00 |</t>
  </si>
  <si>
    <t xml:space="preserve">102865-2 NB APPLE M3 PRO MTL83LL/A 8GB/1TB/14 - SPACE GRAY *2023* /UNI 191.00 |</t>
  </si>
  <si>
    <t xml:space="preserve">114775-9 NB APPLE M4 PRO MX2E3LL/A 12C/16C 24G/512G SSD/14" SILVER/UNI 651.00 |</t>
  </si>
  <si>
    <t xml:space="preserve">128939-8 NB APPLE M4 PRO MX2F3HN/A 24G/1T SSD/14.2" SILVER 24 /UNI 657.00 |</t>
  </si>
  <si>
    <t xml:space="preserve">114778-0 NB APPLE M4 PRO MX2X3LL/A 24G/512G SSD/16" S.BLACK 24 /UNI 825.00 |</t>
  </si>
  <si>
    <t xml:space="preserve">134771-5 NB APPLE M5 AIR MDH84LL/A 16G/1T SSD/13.6" SILVER /UNI 765.00 |</t>
  </si>
  <si>
    <t xml:space="preserve">134772-2 NB APPLE M5 AIR MDHC4LL/A 16G/1T SSD/13.6" STARLIGHT /UNI 823.00 |</t>
  </si>
  <si>
    <t xml:space="preserve">134770-8 NB APPLE M5 AIR MDHF4LL/A 16G/1T SSD/13.6" MIDNIGHT /UNI 707.00 |</t>
  </si>
  <si>
    <t xml:space="preserve">135352-5 NB APPLE M5 AIR MDVA4LL/A 16G/1T 15.6" SILVER /UNI 311.00 |</t>
  </si>
  <si>
    <t xml:space="preserve">135353-2 NB APPLE M5 AIR MDVE4LL/A 16G/1T 15.6" STARLIGHT /UNI 369.00 |</t>
  </si>
  <si>
    <t xml:space="preserve">135350-1 NB APPLE M5 AIR MDVT4LL/A 16G/1T 15.6" BLUE /UNI 185.00 |</t>
  </si>
  <si>
    <t xml:space="preserve">135637-3 NB APPLE M5 MAX MGE74LL/A 36G/2T SSD/16" SILVER /UNI 795.00 |</t>
  </si>
  <si>
    <t xml:space="preserve">129382-1 NB APPLE M5 MDE54LL/A PRO 16G/1T SSD/14" SILVER 25 /UNI 103.00 |</t>
  </si>
  <si>
    <t xml:space="preserve">134953-5 NB APPLE M5 MDHJ4LL/A AIR 16G/1T SSD/13.6" SKY BLUE /UNI 947.00 |</t>
  </si>
  <si>
    <t xml:space="preserve">134776-0 NB APPLE M5 PRO MGDN4LL/A 24G/1T SSD/14" SILVER /UNI 165.00 |</t>
  </si>
  <si>
    <t xml:space="preserve">135075-3 NB APPLE M5 PRO MGDP4LL/A 24G/2T SSD/14" SILVER /UNI 311.00 |</t>
  </si>
  <si>
    <t xml:space="preserve">134944-3 NB APPLE M5 PRO MGDR4LL/A 24G/1T SSD/14" S.BLACK /UNI 915.00 |</t>
  </si>
  <si>
    <t xml:space="preserve">135074-6 NB APPLE M5 PRO MGDT4LL/A 24G/2T SSD/14" S.BLACK /UNI 253.00 |</t>
  </si>
  <si>
    <t xml:space="preserve">134778-4 NB APPLE M5 PRO MGEA4LL/A 24G/1T SSD/16" S.BLACK /UNI 291.00 |</t>
  </si>
  <si>
    <t xml:space="preserve">113963-1 CEL APPLE IPHONE 16 PRO 1TB/8 A3083 LL/A 6.3" WHITE.T ESI/UNI 521.00 |</t>
  </si>
  <si>
    <t xml:space="preserve">134354-0 CEL APPLE IPHONE 16 PRO MAX 512GB/8 A3084 LL 6.9" DESERT./UNI 277.00 |</t>
  </si>
  <si>
    <t xml:space="preserve">134356-4 CEL APPLE IPHONE 16 PRO MAX 512GB/8 A3084 LL 6.9" WHITE.T/UNI 403.00 |</t>
  </si>
  <si>
    <t xml:space="preserve">127512-4 CEL APPLE IPHONE 17 PRO 512GB/12 A3256 LL 6.3" COSMIC O E/UNI 309.00 |</t>
  </si>
  <si>
    <t xml:space="preserve">139415-3 CEL APPLE IPHONE 17 PRO MAX 1TB/12 A3526 BE 6.9" DEEP BLU/UNI 853.00 |</t>
  </si>
  <si>
    <t xml:space="preserve">139416-0 CEL APPLE IPHONE 17 PRO MAX 1TB/12 A3526 BE 6.9" SILVER A/UNI 911.00 |</t>
  </si>
  <si>
    <t xml:space="preserve">127580-3 CEL APPLE IPHONE 17 PRO MAX 2TB/12 A3257 LL 6.9" COSMIC O/UNI 823.00 |</t>
  </si>
  <si>
    <t xml:space="preserve">128943-5 CEL APPLE IPHONE 17 PRO MAX 512GB/12 A3525 4J 6.9" COSMIC/UNI 379.00 |</t>
  </si>
  <si>
    <t xml:space="preserve">14328-8 SWAP IPHONE 15 128GB ESIM A- ROSA AMRICANO / 99.00 |</t>
  </si>
  <si>
    <t xml:space="preserve">14337-0 SWAP IPHONE 15 128GB ESIM A- VERDE AMRICANO / 121.00 |</t>
  </si>
  <si>
    <t xml:space="preserve">15530-4 SWAP IPHONE 16E 128GB ESIM A- PRETO (AMERICANO) / 91.00 |</t>
  </si>
  <si>
    <t xml:space="preserve">133575-0 CEL SAMSUNG S26 SM-S942B 5G DS/256GB/12 6.2" COBALT VIOLE/UNI 611.00 |</t>
  </si>
  <si>
    <t xml:space="preserve">133583-5 CEL SAMSUNG S26+ SM-S947B 5G DS/256GB/12 6.6" COBALT VIOL/UNI 585.00 |</t>
  </si>
  <si>
    <t xml:space="preserve">133584-2 CEL SAMSUNG S26+ SM-S947B 5G DS/256GB/12 6.6" WHITE SLIM /UNI 643.00 |</t>
  </si>
  <si>
    <t xml:space="preserve">138591-5 CEL MOTOROLA EDGE 60 FUSION 2503-1 5G DS/256GB/8 6.67" AM/UNI 409.00 |</t>
  </si>
  <si>
    <t xml:space="preserve">136076-9 CEL MOTOROLA EDGE 60 FUSION 2503-1 5G DS/256GB/8 6.67" GR/UNI 529.00 |</t>
  </si>
  <si>
    <t xml:space="preserve">138589-2 CEL MOTOROLA EDGE 60 FUSION 2503-1 5G DS/256GB/8 6.67" SL/UNI 803.00 |</t>
  </si>
  <si>
    <t xml:space="preserve">138590-8 CEL MOTOROLA EDGE 60 FUSION 2503-1 5G DS/256GB/8 6.67" ZE/UNI 351.00 |</t>
  </si>
  <si>
    <t xml:space="preserve">131603-2 CEL MOTOROLA G06 XT-2535-2 DS/128GB/4 6.9" BLUE (BR) /UNI 573.00 |</t>
  </si>
  <si>
    <t xml:space="preserve">131752-7 CEL MOTOROLA G56 XT-2529-1 5G DS/256GB/8 6.50" BLUE (BR) /UNI 193.00 |</t>
  </si>
  <si>
    <t xml:space="preserve">130490-9 CEL MOTOROLA G56 XT-2529-1 5G DS/256GB/8 6.50" GREY (BR) /UNI 823.00 |</t>
  </si>
  <si>
    <t xml:space="preserve">135143-9 TABLET XIAOMI MI PAD 8 PRO 12GB/512GB 11.2" WIFI BLUE BR /UNI 943.00 |</t>
  </si>
  <si>
    <t xml:space="preserve">134827-9 TABLET XIAOMI MI PAD 8 PRO 8GB/256GB 11.2" WIFI BLUE BR /UNI 801.00 |</t>
  </si>
  <si>
    <t xml:space="preserve">134828-6 TABLET XIAOMI MI PAD 8 PRO 8GB/256GB 11.2" WIFI GRAY BR /UNI 859.00 |</t>
  </si>
  <si>
    <t xml:space="preserve">134829-3 TABLET XIAOMI MI PAD 8 PRO 8GB/256GB 11.2" WIFI GREEN BR /UNI 917.00 |</t>
  </si>
  <si>
    <t xml:space="preserve">134097-6 TABLET XIAOMI PAD MINI 12GB/512GB 8.8" 3K 165HZ WIFI GRAY/UNI 467.00 |</t>
  </si>
  <si>
    <t xml:space="preserve">134099-0 TABLET XIAOMI PAD MINI 12GB/512GB 8.8" 3K 165HZ WIFI PURP/UNI 583.00 |</t>
  </si>
  <si>
    <t xml:space="preserve">135396-9 TABLET XIAOMI REDMI PAD *SE* 8RAM/128GB 11" LAVANDER PURP/UNI 923.00 |</t>
  </si>
  <si>
    <t xml:space="preserve">135876-6 CEL XIAOMI 15T LEICA DS/512GB/12 6.83" BLACK GLOBAL 3P /UNI 443.00 |</t>
  </si>
  <si>
    <t xml:space="preserve">139239-5 CEL XIAOMI 15T LEICA DS/512GB/12 6.83" BLACK GLOBAL SLIM /UNI 139.00 |</t>
  </si>
  <si>
    <t xml:space="preserve">135475-1 CEL XIAOMI 15T PRO LEICA DS/256GB/12 6.83" BLACK GLOBAL (/UNI 793.00 |</t>
  </si>
  <si>
    <t xml:space="preserve">135113-2 CEL XIAOMI 15T PRO LEICA DS/256GB/12 6.83" BLACK GLOBAL (/UNI 663.00 |</t>
  </si>
  <si>
    <t xml:space="preserve">135468-3 CEL XIAOMI 15T PRO LEICA DS/256GB/12 6.83" GREY GLOBAL (B/UNI 887.00 |</t>
  </si>
  <si>
    <t xml:space="preserve">137788-0 CEL XIAOMI 15T PRO LEICA DS/512GB/12 6.83" BLACK GLOBAL S/UNI 831.00 |</t>
  </si>
  <si>
    <t xml:space="preserve">134742-5 CEL XIAOMI 15T PRO LEICA DS/512GB/12 6.83" GOLD GLOBAL (B/UNI 553.00 |</t>
  </si>
  <si>
    <t xml:space="preserve">135877-3 CEL XIAOMI 15T PRO LEICA DS/512GB/12 6.83" GOLD GLOBAL 3P/UNI 501.00 |</t>
  </si>
  <si>
    <t xml:space="preserve">137789-7 CEL XIAOMI 15T PRO LEICA DS/512GB/12 6.83" GREY GLOBAL SL/UNI 899.00 |</t>
  </si>
  <si>
    <t xml:space="preserve">137790-3 CEL XIAOMI 15T PRO LEICA DS/512GB/12 6.83" ORO GOLD GLOBA/UNI 437.00 |</t>
  </si>
  <si>
    <t xml:space="preserve">139489-4 CEL XIAOMI 17 PRO LEICA DS/1TB/16 6.3" 4K 50/50MXP BLACK /UNI 835.00 |</t>
  </si>
  <si>
    <t xml:space="preserve">136150-6 CEL XIAOMI 17 PRO LEICA DS/512GB/16 6.3" 4K 50/50MXP PURP/UNI 99.00 |</t>
  </si>
  <si>
    <t xml:space="preserve">141046-4 CEL XIAOMI 17T LEICA 5G DS/256GB/12 6.59" 50/50MXP BLUE G/UNI 577.00 |</t>
  </si>
  <si>
    <t xml:space="preserve">139213-5 CEL XIAOMI 17T LEICA 5G DS/256GB/12 6.59" 50/50MXP VIOLET/UNI 491.00 |</t>
  </si>
  <si>
    <t xml:space="preserve">138871-8 CEL XIAOMI 17T LEICA 5G DS/256GB/12 6.59" BLACK GLOBAL L./UNI 593.00 |</t>
  </si>
  <si>
    <t xml:space="preserve">138712-4 CEL XIAOMI 17T LEICA 5G DS/512GB/12 6.59" 50/50MXP VIOLET/UNI 883.00 |</t>
  </si>
  <si>
    <t xml:space="preserve">138878-7 CEL XIAOMI 17T LEICA 5G DS/512GB/12 6.59" 50/50MXP VIOLET/UNI 119.00 |</t>
  </si>
  <si>
    <t xml:space="preserve">139870-0 CEL XIAOMI 17T PRO LEICA 5G DS/1TB/12 6.83" 50/50MXP BLUE/UNI 675.00 |</t>
  </si>
  <si>
    <t xml:space="preserve">138817-6 CEL XIAOMI 17T PRO LEICA 5G DS/512GB/12 6.83" 50/50MXP BL/UNI 411.00 |</t>
  </si>
  <si>
    <t xml:space="preserve">138816-9 CEL XIAOMI 17T PRO LEICA 5G DS/512GB/12 6.83" 50/50MXP BL/UNI 353.00 |</t>
  </si>
  <si>
    <t xml:space="preserve">141048-8 CEL XIAOMI 17T PRO LEICA 5G DS/512GB/12 6.83" 50/50MXP VI/UNI 703.00 |</t>
  </si>
  <si>
    <t xml:space="preserve">138709-4 CEL XIAOMI 17T PRO LEICA 5G DS/512GB/12 6.83" BLACK GLOBA/UNI 319.00 |</t>
  </si>
  <si>
    <t xml:space="preserve">138873-2 CEL XIAOMI 17T PRO LEICA 5G DS/512GB/12 6.83" BLACK GLOBA/UNI 709.00 |</t>
  </si>
  <si>
    <t xml:space="preserve">138710-0 CEL XIAOMI 17T PRO LEICA 5G DS/512GB/12 6.83" BLUE GLOBAL/UNI 757.00 |</t>
  </si>
  <si>
    <t xml:space="preserve">113775-0 CEL XIAOMI MIX FLIP 5G DS/512GB/12 6.68" 50/32MPX BLACK G/UNI 491.00 |</t>
  </si>
  <si>
    <t xml:space="preserve">136582-5 CEL XIAOMI POCO C85 DS/128GB/6 6.9" BLACK GLOBAL (BR) L.P/UNI 77.75 |</t>
  </si>
  <si>
    <t xml:space="preserve">136709-6 CEL XIAOMI POCO C85 DS/128GB/6 6.9" GREEN GLOBAL (BR) L.P/UNI 919.75 |</t>
  </si>
  <si>
    <t xml:space="preserve">126070-0 CEL XIAOMI POCO C85 DS/128GB/6 6.9" GREEN GLOBAL (US) /UNI 873.75 |</t>
  </si>
  <si>
    <t xml:space="preserve">140703-7 CEL XIAOMI POCO C85 DS/128GB/6 6.9" PURPLE GLOBAL (ARG) /UNI 729.75 |</t>
  </si>
  <si>
    <t xml:space="preserve">141507-0 CEL XIAOMI POCO C85 DS/256GB/8 6.9" BLACK GLOBAL SLIM L.P/UNI 875.75 |</t>
  </si>
  <si>
    <t xml:space="preserve">141043-3 CEL XIAOMI POCO F6 PRO 5G DS/512GB/12 6.67" BLACK GLOBAL /UNI 393.75 |</t>
  </si>
  <si>
    <t xml:space="preserve">130300-1 CEL XIAOMI POCO F8 PRO 5G DS/256GB/12 6.59" 50MP BLACK GL/UNI 775.00 |</t>
  </si>
  <si>
    <t xml:space="preserve">130797-9 CEL XIAOMI POCO F8 PRO 5G DS/256GB/12 6.59" 50MP BLUE GLO/UNI 713.00 |</t>
  </si>
  <si>
    <t xml:space="preserve">130798-6 CEL XIAOMI POCO F8 PRO 5G DS/256GB/12 6.59" 50MP SILVER.T/UNI 771.00 |</t>
  </si>
  <si>
    <t xml:space="preserve">135072-2 CEL XIAOMI POCO F8 PRO 5G DS/256GB/12 6.59" BLACK GLOBAL /UNI 127.00 |</t>
  </si>
  <si>
    <t xml:space="preserve">131010-8 CEL XIAOMI POCO F8 PRO 5G DS/512GB/12 6.59" 50MP BLUE GLO/UNI 661.00 |</t>
  </si>
  <si>
    <t xml:space="preserve">130303-2 CEL XIAOMI POCO F8 ULTRA 5G DS/256GB/12 6.67" BLACK GLOBA/UNI 59.00 |</t>
  </si>
  <si>
    <t xml:space="preserve">132562-1 CEL XIAOMI POCO F8 ULTRA 5G DS/256GB/12 6.67" BLUE GLOBAL/UNI 187.00 |</t>
  </si>
  <si>
    <t xml:space="preserve">125889-9 CEL XIAOMI POCO M7 4G DS/256GB/8 6.79" BLUE GLOBAL (BR) /UNI 539.75 |</t>
  </si>
  <si>
    <t xml:space="preserve">116861-7 CEL XIAOMI POCO M7 PRO 5G DS/128GB/6 6.67" OLIVE TWILIGHT/UNI 737.75 |</t>
  </si>
  <si>
    <t xml:space="preserve">131680-3 CEL XIAOMI POCO M8 5G DS/256GB/8 6.77" BLACK GLOBAL (BR) /UNI 219.00 |</t>
  </si>
  <si>
    <t xml:space="preserve">138886-2 CEL XIAOMI POCO M8 5G DS/512GB/12 6.77" BLACK GLOBAL (BR)/UNI 83.00 |</t>
  </si>
  <si>
    <t xml:space="preserve">138887-9 CEL XIAOMI POCO M8 5G DS/512GB/12 6.77" GREEN GLOBAL (BR)/UNI 151.00 |</t>
  </si>
  <si>
    <t xml:space="preserve">138888-6 CEL XIAOMI POCO M8 5G DS/512GB/12 6.77" SILVER GLOBAL (BR/UNI 209.00 |</t>
  </si>
  <si>
    <t xml:space="preserve">131694-0 CEL XIAOMI POCO M8 5G DS/512GB/8 6.77" GREEN GLOBAL (BR) /UNI 551.00 |</t>
  </si>
  <si>
    <t xml:space="preserve">138252-5 CEL XIAOMI POCO M8 5G DS/512GB/8 6.77" GREEN GLOBAL (US) /UNI 643.00 |</t>
  </si>
  <si>
    <t xml:space="preserve">138992-0 CEL XIAOMI POCO M8 PRO 5G DS/256GB/8 6.83" GREEN GLOBAL (/UNI 949.00 |</t>
  </si>
  <si>
    <t xml:space="preserve">136836-9 CEL XIAOMI POCO M8S 5G DS/128GB/6 6.77" BLACK GLOBAL (BR)/UNI 233.75 |</t>
  </si>
  <si>
    <t xml:space="preserve">116611-8 CEL XIAOMI POCO X7 PRO 5G DS/512GB/12 6.67" 4K BLACK GLOB/UNI 941.00 |</t>
  </si>
  <si>
    <t xml:space="preserve">116612-5 CEL XIAOMI POCO X7 PRO 5G DS/512GB/12 6.67" 4K GREEN GLOB/UNI 99.00 |</t>
  </si>
  <si>
    <t xml:space="preserve">141457-8 CEL XIAOMI POCO X8 PRO 5G DS/256GB/8 6.59" 4K BLACK GLOBA/UNI 317.00 |</t>
  </si>
  <si>
    <t xml:space="preserve">140119-6 CEL XIAOMI POCO X8 PRO 5G DS/256GB/8 6.59" 4K GREEN GLOBA/UNI 459.00 |</t>
  </si>
  <si>
    <t xml:space="preserve">133958-1 CEL XIAOMI POCO X8 PRO 5G DS/256GB/8 6.59" 4K GREEN GLOBA/UNI 197.00 |</t>
  </si>
  <si>
    <t xml:space="preserve">136861-1 CEL XIAOMI POCO X8 PRO 5G DS/256GB/8 6.59" 4K GREEN GLOBA/UNI 193.00 |</t>
  </si>
  <si>
    <t xml:space="preserve">134601-5 CEL XIAOMI POCO X8 PRO 5G DS/256GB/8 6.59" 4K GREEN GLOBA/UNI 907.00 |</t>
  </si>
  <si>
    <t xml:space="preserve">134603-9 CEL XIAOMI POCO X8 PRO 5G DS/512GB/12 6.59" 4K GREEN GLOB/UNI 133.00 |</t>
  </si>
  <si>
    <t xml:space="preserve">141458-5 CEL XIAOMI POCO X8 PRO 5G DS/512GB/12 6.59" 4K WHITE GLOB/UNI 375.00 |</t>
  </si>
  <si>
    <t xml:space="preserve">137289-2 CEL XIAOMI POCO X8 PRO MAX 5G DS/256GB/12 6.83" 4K ORANGE/UNI 289.00 |</t>
  </si>
  <si>
    <t xml:space="preserve">136735-5 CEL XIAOMI POCO X8 PRO MAX 5G DS/512GB/12 6.83" 4K ORANGE/UNI 947.75 |</t>
  </si>
  <si>
    <t xml:space="preserve">125752-6 CEL XIAOMI REDMI 15 4G DS/128GB/6 6.9" MIDNIGHT BLACK GLO/UNI 615.75 |</t>
  </si>
  <si>
    <t xml:space="preserve">139653-9 CEL XIAOMI REDMI 15 4G DS/128GB/8 6.9" GREY.T GLOBAL (BR)/UNI 443.75 |</t>
  </si>
  <si>
    <t xml:space="preserve">139652-2 CEL XIAOMI REDMI 15 4G DS/128GB/8 6.9" MIDNIGHT BLACK GLO/UNI 375.75 |</t>
  </si>
  <si>
    <t xml:space="preserve">129052-3 CEL XIAOMI REDMI 15 4G DS/256GB/8 6.9" GREY.T GLOBAL (US)/UNI 369.00 |</t>
  </si>
  <si>
    <t xml:space="preserve">141522-3 CEL XIAOMI REDMI 15 4G DS/256GB/8 6.9" GREY.T GLOBAL ARG /UNI 755.00 |</t>
  </si>
  <si>
    <t xml:space="preserve">128250-4 CEL XIAOMI REDMI 15 4G DS/256GB/8 6.9" SANDY PURPLE GLOBA/UNI 339.00 |</t>
  </si>
  <si>
    <t xml:space="preserve">138732-2 CEL XIAOMI REDMI 15C DS/128GB/4 6.9" BLACK GLOBAL (ARG) /UNI 163.75 |</t>
  </si>
  <si>
    <t xml:space="preserve">125899-8 CEL XIAOMI REDMI 15C DS/128GB/4 6.9" GREEN GLOBAL (BR) /UNI 629.75 |</t>
  </si>
  <si>
    <t xml:space="preserve">138890-9 CEL XIAOMI REDMI 15C DS/128GB/4 6.9" ORANGE GLOBAL NFC (B/UNI 715.75 |</t>
  </si>
  <si>
    <t xml:space="preserve">125551-5 CEL XIAOMI REDMI 15C DS/256GB/8 6.9" 50MP BLACK GLOBAL (B/UNI 311.00 |</t>
  </si>
  <si>
    <t xml:space="preserve">130784-9 CEL XIAOMI REDMI 15C DS/256GB/8 6.9" 50MP BLACK GLOBAL (B/UNI 439.00 |</t>
  </si>
  <si>
    <t xml:space="preserve">140836-2 CEL XIAOMI REDMI 15C DS/256GB/8 6.9" 50MP BLACK GLOBAL NF/UNI 401.00 |</t>
  </si>
  <si>
    <t xml:space="preserve">125911-7 CEL XIAOMI REDMI 15C DS/256GB/8 6.9" 50MP GREEN GLOBAL (B/UNI 433.00 |</t>
  </si>
  <si>
    <t xml:space="preserve">131820-3 CEL XIAOMI REDMI 15C DS/256GB/8 6.9" 50MP GREEN GLOBAL (B/UNI 815.00 |</t>
  </si>
  <si>
    <t xml:space="preserve">129429-3 CEL XIAOMI REDMI 15C DS/256GB/8 6.9" 50MP GREEN GLOBAL (U/UNI 107.00 |</t>
  </si>
  <si>
    <t xml:space="preserve">140745-7 CEL XIAOMI REDMI 17 4G DS/128GB/4 6.83" BLACK GLOBAL (BR)/UNI 315.00 |</t>
  </si>
  <si>
    <t xml:space="preserve">141117-1 CEL XIAOMI REDMI 17 4G DS/128GB/4 6.83" DEEP BLUE GLOBAL /UNI 483.00 |</t>
  </si>
  <si>
    <t xml:space="preserve">141118-8 CEL XIAOMI REDMI 17 4G DS/128GB/4 6.83" LOTUS PURPLE GLOB/UNI 551.00 |</t>
  </si>
  <si>
    <t xml:space="preserve">140376-3 CEL XIAOMI REDMI 17 4G DS/128GB/4 6.83" LOTUS PURPLE GLOB/UNI 161.00 |</t>
  </si>
  <si>
    <t xml:space="preserve">140378-7 CEL XIAOMI REDMI 17 4G DS/256GB/4 6.83" BLACK GLOBAL (US)/UNI 287.00 |</t>
  </si>
  <si>
    <t xml:space="preserve">141119-5 CEL XIAOMI REDMI 17 4G DS/256GB/4 6.83" DEEP BLUE GLOBAL /UNI 609.00 |</t>
  </si>
  <si>
    <t xml:space="preserve">141525-4 CEL XIAOMI REDMI 17 4G DS/256GB/4 6.83" DEEP BLUE GLOBAL /UNI 939.00 |</t>
  </si>
  <si>
    <t xml:space="preserve">141153-9 CEL XIAOMI REDMI 17 4G DS/256GB/4 6.83" LOTUS PURPLE GLOB/UNI 611.00 |</t>
  </si>
  <si>
    <t xml:space="preserve">141120-1 CEL XIAOMI REDMI 17 4G DS/256GB/4 6.83" OAK GREEN GLOBAL /UNI 147.00 |</t>
  </si>
  <si>
    <t xml:space="preserve">141526-1 CEL XIAOMI REDMI 17 4G DS/256GB/4 6.83" OAK GREEN GLOBAL /UNI 97.00 |</t>
  </si>
  <si>
    <t xml:space="preserve">140379-4 CEL XIAOMI REDMI 17 4G DS/256GB/6 6.83" BLACK GLOBAL (BR)/UNI 345.00 |</t>
  </si>
  <si>
    <t xml:space="preserve">141122-5 CEL XIAOMI REDMI 17 4G DS/256GB/6 6.83" BLACK GLOBAL (US)/UNI 273.00 |</t>
  </si>
  <si>
    <t xml:space="preserve">140380-0 CEL XIAOMI REDMI 17 4G DS/256GB/6 6.83" DEEP BLUE GLOBAL /UNI 783.00 |</t>
  </si>
  <si>
    <t xml:space="preserve">141123-2 CEL XIAOMI REDMI 17 4G DS/256GB/6 6.83" DEEP BLUE GLOBAL /UNI 331.00 |</t>
  </si>
  <si>
    <t xml:space="preserve">140381-7 CEL XIAOMI REDMI 17 4G DS/256GB/6 6.83" LOTUS PURPLE GLOB/UNI 851.00 |</t>
  </si>
  <si>
    <t xml:space="preserve">141124-9 CEL XIAOMI REDMI 17 4G DS/256GB/6 6.83" LOTUS PURPLE GLOB/UNI 399.00 |</t>
  </si>
  <si>
    <t xml:space="preserve">141240-6 CEL XIAOMI REDMI 17 4G DS/256GB/6 6.83" OAK GREEN GLOBAL /UNI 455.00 |</t>
  </si>
  <si>
    <t xml:space="preserve">138719-3 CEL XIAOMI REDMI A7 PRO DS/64GB/4 6.9" PALM GREEN GLOBAL /UNI 409.75 |</t>
  </si>
  <si>
    <t xml:space="preserve">119325-1 CEL XIAOMI REDMI NOTE 14S 4G DS/256GB/8 6.67" BLACK GLOBA/UNI 459.75 |</t>
  </si>
  <si>
    <t xml:space="preserve">139947-9 CEL XIAOMI REDMI NOTE 15 4G DS/256GB/8 6.77" BLACK GLOBAL/UNI 59.75 |</t>
  </si>
  <si>
    <t xml:space="preserve">141601-5 CEL XIAOMI REDMI NOTE 15 4G DS/256GB/8 6.77" GLA.BLUE (AR/UNI 635.75 |</t>
  </si>
  <si>
    <t xml:space="preserve">139233-3 CEL XIAOMI REDMI NOTE 15 PRO 4G DS/256GB/8 6.83" BLACK GL/UNI 671.75 |</t>
  </si>
  <si>
    <t xml:space="preserve">131361-1 CEL XIAOMI REDMI NOTE 15 PRO 5G DS/256GB/8 6.83" PURPLE G/UNI 633.00 |</t>
  </si>
  <si>
    <t xml:space="preserve">139441-2 CEL XIAOMI REDMI NOTE 15 PRO 5G DS/256GB/8 6.83" PURPLE G/UNI 881.00 |</t>
  </si>
  <si>
    <t xml:space="preserve">139495-5 APPLE FONE AIRPODS 4 MXP93ZA/A ACTIVE NOISE CANCELLATION /UNI 683.00 |</t>
  </si>
  <si>
    <t xml:space="preserve">137470-4 APPLE FONE AIRPODS MAX 2 USB-C MHWL4AM/A STARLIGHT /UNI 793.00 |</t>
  </si>
  <si>
    <t xml:space="preserve">138403-1 APPLE FONE AIRPODS MAX 2 USB-C MHWM4AM/A BLUE /UNI 487.00 |</t>
  </si>
  <si>
    <t xml:space="preserve">138402-4 APPLE FONE AIRPODS MAX 2 USB-C MHWP4AM/A PURPLE /UNI 429.00 |</t>
  </si>
  <si>
    <t xml:space="preserve">134101-0 APPLE IPAD AIR M4 MH304LL/A WIFI 128GB 11" - SPACE GRAY */UNI 297.00 |</t>
  </si>
  <si>
    <t xml:space="preserve">134102-7 APPLE IPAD AIR M4 MH314LL/A WIFI 128GB 11" - BLUE *2026* /UNI 365.00 |</t>
  </si>
  <si>
    <t xml:space="preserve">134103-4 APPLE IPAD AIR M4 MH344LL/A WIFI 128GB 11" - PURPLE *2026/UNI 423.00 |</t>
  </si>
  <si>
    <t xml:space="preserve">114466-6 APPLE IPAD MINI 7 (A17 PRO) MXN73LL/A WIFI 128GB 8.3" BLU/UNI 255.00 |</t>
  </si>
  <si>
    <t xml:space="preserve">115542-6 APPLE IPAD MINI 7 (A17 PRO) MXNA3LL/A WIFI 256GB 8.3" SPA/UNI 101.00 |</t>
  </si>
  <si>
    <t xml:space="preserve">115593-8 APPLE IPAD MINI 7 (A17 PRO) MXNC3LL/A WIFI 256GB 8.3" BLU/UNI 619.00 |</t>
  </si>
  <si>
    <t xml:space="preserve">117958-3 APPLE IPAD MINI 7 (A17 PRO) MXND3LL/A WIFI 256GB 8.3" STA/UNI 441.00 |</t>
  </si>
  <si>
    <t xml:space="preserve">141558-2 CEL APPLE IPHONE 14 256GB/6 A2882 ZD 6.1" MIDNIGHT CPO /UNI 493.00 |</t>
  </si>
  <si>
    <t xml:space="preserve">140800-3 CEL APPLE IPHONE 16 128GB/8 A3288 ZA/A 6.1" BLACK CPO /UNI 663.00 |</t>
  </si>
  <si>
    <t xml:space="preserve">134121-8 APPLE IPAD AIR M4 MH5U4LL/A WIFI 256GB 13" - SPACE GRAY */UNI 487.00 |</t>
  </si>
  <si>
    <t xml:space="preserve">134050-1 NB APPLE M5 AIR MDHE4LL/A 16G/512G SSD/13.6" MIDNIGHT /UNI 571.00 |</t>
  </si>
  <si>
    <t xml:space="preserve">129381-4 NB APPLE M5 MDE14LL/A PRO 16G/1T SSD/14" S.BLACK 25 /UNI 945.00 |</t>
  </si>
  <si>
    <t xml:space="preserve">127799-9 CEL APPLE IPHONE 17 PRO 1TB/12 A3256 LL 6.3" COSMIC O ESI/UNI 811.00 |</t>
  </si>
  <si>
    <t xml:space="preserve">130205-9 CEL APPLE IPHONE 17 PRO 1TB/12 A3256 LL 6.3" SILVER ESIM /UNI 67.00 |</t>
  </si>
  <si>
    <t xml:space="preserve">139512-9 CEL XIAOMI 17 ULTRA LEICA DS/512GB/16 6.3" 4K 50/50MXP BL/UNI 797.00 |</t>
  </si>
  <si>
    <t xml:space="preserve">139479-5 CEL XIAOMI 17 ULTRA LEICA DS/512GB/16 6.9" 4K GREEN (US) /UNI 745.00 |</t>
  </si>
  <si>
    <t xml:space="preserve">139478-8 CEL XIAOMI 17 ULTRA LEICA DS/512GB/16 6.9" 4K PURPLE (US)/UNI 687.00 |</t>
  </si>
  <si>
    <t xml:space="preserve">139481-8 CEL XIAOMI 17 ULTRA LEICA DS/512GB/16 6.9" 4K WHITE (US) /UNI 351.00 |</t>
  </si>
  <si>
    <t xml:space="preserve">139483-2 CEL XIAOMI 17 ULTRA LEICA LEITZPHONE DS/1TB/16 6.9" 4K BL/UNI 467.00 |</t>
  </si>
  <si>
    <t xml:space="preserve">139482-5 CEL XIAOMI 17 ULTRA LEICA LEITZPHONE DS/512GB/16 6.9" 4K /UNI 409.00 |</t>
  </si>
  <si>
    <t xml:space="preserve">139913-4 CEL MOTOROLA G06 XT-2535-2 DS/128GB/4 6.9" BLUE (US) /UNI 437.00 |</t>
  </si>
  <si>
    <t xml:space="preserve">140142-4 CEL MOTOROLA G06 XT-2535-2 DS/128GB/4 6.9" GREEN (US) /UNI 303.00 |</t>
  </si>
  <si>
    <t xml:space="preserve">140141-7 CEL MOTOROLA G06 XT-2535-2 DS/128GB/4 6.9" ORANGE (US) /UNI 245.00 |</t>
  </si>
  <si>
    <t xml:space="preserve">132104-3 CEL MOTOROLA G06 XT-2535-2 DS/256GB/4 6.9" ORANGE (US) /UNI 181.00 |</t>
  </si>
  <si>
    <t xml:space="preserve">132105-0 CEL MOTOROLA G06 XT-2535-2 DS/256GB/4 6.9" TAPESTRY BLUE /UNI 239.00 |</t>
  </si>
  <si>
    <t xml:space="preserve">132106-7 CEL MOTOROLA G06 XT-2535-2 DS/256GB/4 6.9" TENDRIL GREEN /UNI 307.00 |</t>
  </si>
  <si>
    <t xml:space="preserve">9073-5 SWAP IPHONE 14 PRO 128GB ESIM A- SILVER (AMERICANO) / 629.00 |</t>
  </si>
  <si>
    <t xml:space="preserve">141421-9 TABLET XIAOMI REDMI PAD *2* 4G CHIP 4RAM/128GB 11" GREEN /UNI 579.75 |</t>
  </si>
  <si>
    <t xml:space="preserve">136692-1 TABLET XIAOMI REDMI PAD *2* 4RAM/128GB 9.7" GREY C/ADAP B/UNI 285.00 |</t>
  </si>
  <si>
    <t xml:space="preserve">136693-8 TABLET XIAOMI REDMI PAD *2* 4RAM/128GB 9.7" SILVER C/ADA/UNI 353.00 |</t>
  </si>
  <si>
    <t xml:space="preserve">141633-6 TABLET XIAOMI REDMI PAD *2* PRO 6RAM/128GB 12.1" SILVER W/UNI 131.00 |</t>
  </si>
  <si>
    <t xml:space="preserve">137059-1 CEL XIAOMI POCO C81 PRO DS/64GB/4 6.9" GOLD GLOBAL (US) /UNI 673.75 |</t>
  </si>
  <si>
    <t xml:space="preserve">137205-2 CEL XIAOMI POCO C81 PRO DS/64GB/4 6.9" GREEN GLOBAL (BR) /UNI 217.75 |</t>
  </si>
  <si>
    <t xml:space="preserve">137798-9 CEL XIAOMI POCO C81 PRO DS/64GB/4 6.9" GREEN GLOBAL (US) /UNI 931.75 |</t>
  </si>
  <si>
    <t xml:space="preserve">125848-6 CEL XIAOMI POCO C85 DS/128GB/6 6.9" BLACK GLOBAL (BR) /UNI 111.00 |</t>
  </si>
  <si>
    <t xml:space="preserve">126834-8 CEL XIAOMI POCO C85 DS/128GB/6 6.9" GREEN GLOBAL (BR) /UNI 829.00 |</t>
  </si>
  <si>
    <t xml:space="preserve">127274-1 CEL XIAOMI POCO C85 DS/128GB/6 6.9" PURPLE GLOBAL (BR) /UNI 611.00 |</t>
  </si>
  <si>
    <t xml:space="preserve">126003-8 CEL XIAOMI POCO C85 DS/256GB/8 6.9" PURPLE GLOBAL (US) /UNI 427.75 |</t>
  </si>
  <si>
    <t xml:space="preserve">140375-6 CEL XIAOMI REDMI 17 4G DS/128GB/4 6.83" BLACK GLOBAL (US)/UNI 103.00 |</t>
  </si>
  <si>
    <t xml:space="preserve">141152-2 CEL XIAOMI REDMI 17 4G DS/128GB/4 6.83" DEEP BLUE GLOBAL /UNI 543.00 |</t>
  </si>
  <si>
    <t xml:space="preserve">140747-1 CEL XIAOMI REDMI 17 4G DS/256GB/4 6.83" BLACK GLOBAL (BR)/UNI 431.00 |</t>
  </si>
  <si>
    <t xml:space="preserve">140377-0 CEL XIAOMI REDMI 17 4G DS/256GB/4 6.83" LOTUS PURPLE GLOB/UNI 219.00 |</t>
  </si>
  <si>
    <t xml:space="preserve">141597-1 CEL XIAOMI REDMI A7 DS/64GB/3 6.88" LTE BLACK GLOBAL (BR)/UNI 795.75 |</t>
  </si>
  <si>
    <t xml:space="preserve">141599-5 CEL XIAOMI REDMI A7 DS/64GB/3 6.88" LTE ORCHID PURPLE GLO/UNI 921.75 |</t>
  </si>
  <si>
    <t xml:space="preserve">141598-8 CEL XIAOMI REDMI A7 DS/64GB/3 6.88" LTE SKAY BLUE GLOBAL /UNI 863.75 |</t>
  </si>
  <si>
    <t xml:space="preserve">REALME </t>
  </si>
  <si>
    <t xml:space="preserve">109693-4 APPLE PENCIL PRO MX2D3AM/A A2538 P/IPAD C/BLUETOOTH WHITE/UNI 259.00 |</t>
  </si>
  <si>
    <t xml:space="preserve">124610-0 APPLE PENCIL PRO MX2D3AM/A A2538 P/IPAD C/BLUETOOTH WHITE/UNI 751.00 |</t>
  </si>
  <si>
    <t xml:space="preserve">128494-2 APPLE PENCIL PRO MX2D3ZA/A A2538 P/IPAD C/BLUETOOTH WHITE/UNI 287.00 |</t>
  </si>
  <si>
    <t xml:space="preserve">127804-0 APPLE WATCH S11 GPS 46MM MEV44LW/A ALIMINUM SPACE GRAY BL/UNI 699.00 |</t>
  </si>
  <si>
    <t xml:space="preserve">127612-1 APPLE WATCH S11 GPS 46MM MEV74LW/A ALIMINUM LIGHT BLUSH R/UNI 427.00 |</t>
  </si>
  <si>
    <t xml:space="preserve">127614-5 APPLE WATCH S11 GPS 46MM MEVA4LW/A ALIMINUM SILVER PURPLE/UNI 553.00 |</t>
  </si>
  <si>
    <t xml:space="preserve">119871-3 APPLE IPAD 11-GERA A16 MD4A4LL/A WIFI 128GB 10.9" - BLUE /UNI 377.00 |</t>
  </si>
  <si>
    <t xml:space="preserve">119925-3 APPLE IPAD 11-GERA A16 MD4D4LL/A WIFI 128GB 10.9" - YELLO/UNI 287.00 |</t>
  </si>
  <si>
    <t xml:space="preserve">120132-1 APPLE IPAD 11-GERA A16 MD4E4LL/A WIFI 128GB 10.9" - PINK /UNI 747.00 |</t>
  </si>
  <si>
    <t xml:space="preserve">141615-2 NB APPLE M5 AIR MDHA4LL/A 16G/512G SSD/13.6" STARLIGHT - /UNI 67.00 |</t>
  </si>
  <si>
    <t xml:space="preserve">141617-6 NB APPLE M5 AIR MDHH4LL/A 16G/512G SSD/13.6" SKY BLUE - A/UNI 193.00 |</t>
  </si>
  <si>
    <t xml:space="preserve">127593-3 CEL SAMSUNG A17 SM-A175F DS/128GB/4 6.7" BLACK SLIM GLOBA/UNI 197.00 |</t>
  </si>
  <si>
    <t xml:space="preserve">127594-0 CEL SAMSUNG A17 SM-A175F DS/128GB/4 6.7" BLUE SLIM GLOBAL/UNI 255.00 |</t>
  </si>
  <si>
    <t xml:space="preserve">127595-7 CEL SAMSUNG A17 SM-A175F DS/128GB/4 6.7" GREY SLIM GLOBAL/UNI 323.00 |</t>
  </si>
  <si>
    <t xml:space="preserve">125170-8 CEL MOTOROLA RAZR 40 ULTRA XT2321-1 ESIM+SS/512GB/12 PEAC/UNI 851.00 |</t>
  </si>
  <si>
    <t xml:space="preserve">14673-9 SWAP IPHONE 15 128GB ESIM A VERDE TELA TROCADA (AMRICANO)/ 613.00 |</t>
  </si>
  <si>
    <t xml:space="preserve">14329-5 SWAP IPHONE 15 128GB ESIM A- AZUL AMRICANO / 157.00 |</t>
  </si>
  <si>
    <t xml:space="preserve">120347-9 TABLET XIAOMI MI PAD 7 8GB/256GB 11.2" WIFI BLUE BR /UNI 493.00 |</t>
  </si>
  <si>
    <t xml:space="preserve">119569-9 TABLET XIAOMI MI PAD 7 8GB/256GB 11.2" WIFI GREEN BR /UNI 417.00 |</t>
  </si>
  <si>
    <t xml:space="preserve">131014-6 TABLET XIAOMI POCO PAD X1 8RAM/512GB 11.2" WIFI GREY BR /UNI 903.00 |</t>
  </si>
  <si>
    <t xml:space="preserve">125913-1 TABLET XIAOMI REDMI PAD *2* 4RAM/128GB 11" MINT GREEN WIF/UNI 549.00 |</t>
  </si>
  <si>
    <t xml:space="preserve">135548-2 CEL XIAOMI POCO C85 DS/256GB/8 6.9" GREEN GLOBAL (BR) L.P/UNI 825.75 |</t>
  </si>
  <si>
    <t xml:space="preserve">136214-5 CEL XIAOMI POCO C85 DS/256GB/8 6.9" PURPLE GLOBAL (BR) L./UNI 99.75 |</t>
  </si>
  <si>
    <t xml:space="preserve">134666-4 CEL XIAOMI POCO X8 PRO 5G DS/512GB/8 6.59" 4K BLACK GLOBA/UNI 857.00 |</t>
  </si>
  <si>
    <t xml:space="preserve">131748-0 CEL XIAOMI REDMI NOTE 15 5G DS/256GB/8 6.77" BLUE GLOBAL /UNI 461.00 |</t>
  </si>
  <si>
    <t xml:space="preserve">134976-4 CEL XIAOMI REDMI NOTE 15 PRO 5G DS/512GB/8 6.83" BLACK GL/UNI 411.00 |</t>
  </si>
  <si>
    <t xml:space="preserve">133213-1 CEL XIAOMI REDMI NOTE 15 PRO 5G DS/512GB/8 6.83" TITANIUM/UNI 481.00 |</t>
  </si>
  <si>
    <t xml:space="preserve">131365-9 CEL XIAOMI REDMI NOTE 15 PRO 5G DS/512GB/8 6.83" TITANIUM/UNI 885.00 |</t>
  </si>
  <si>
    <t xml:space="preserve">129660-0 CEL REALME C85 PRO RMX5555 DS/256GB/8 6.8" PARROT PURPLE /UNI 161.00 |</t>
  </si>
  <si>
    <t xml:space="preserve">129661-7 CEL REALME C85 PRO RMX5555 DS/256GB/8 6.8" PEACOC GREEN N/UNI 229.00 |</t>
  </si>
  <si>
    <t xml:space="preserve">136620-4 CEL REALME C85 RMX5253 5G DS/256GB/8 6.8" PARROT PURPLE A/UNI 429.00 |</t>
  </si>
  <si>
    <t xml:space="preserve">136619-8 CEL REALME C85 RMX5253 5G DS/256GB/8 6.8" PEACOC GREEN AN/UNI 891.00 |</t>
  </si>
  <si>
    <t xml:space="preserve">130304-9 CEL REALME C85 RMX5566 DS/256GB/8 6.8" NFC KINGFISHER BLU/UNI 127.00 |</t>
  </si>
  <si>
    <t xml:space="preserve">130305-6 CEL REALME C85 RMX5566 DS/256GB/8 6.8" SWAN BLACK NFC AN /UNI 185.00 |</t>
  </si>
  <si>
    <t xml:space="preserve">136292-3 APPLE IPAD AIR M4 MH784LL/A WIFI+5G 128GB 11" - SPACE GRA/UNI 703.00 |</t>
  </si>
  <si>
    <t xml:space="preserve">141423-3 APPLE IPAD AIR M4 MH794LL/A WIFI + CELL 128GB - BLUE /UNI 695.00 |</t>
  </si>
  <si>
    <t xml:space="preserve">141676-3 APPLE IPAD AIR M4 MH7A4LL/A WIFI+5G 128GB 11" - STARLIGHT/UNI 675.00 |</t>
  </si>
  <si>
    <t xml:space="preserve">132031-2 CEL APPLE IPHONE 16 128GB/8 A3286 3J/A 6.1" TEAL S.FIS+ES/UNI 149.00 |</t>
  </si>
  <si>
    <t xml:space="preserve">132034-3 CEL APPLE IPHONE 16 128GB/8 A3286 3J/A 6.1" ULTRAMARINE S/UNI 333.00 |</t>
  </si>
  <si>
    <t xml:space="preserve">141675-6 APPLE IPAD AIR M4 MH7D4LL/A WIFI+CELL 256GB 11" - SPACE G/UNI 617.00 |</t>
  </si>
  <si>
    <t xml:space="preserve">141677-0 APPLE IPAD AIR M4 MH7E4LL/A WIFI+CELL 256GB 11" - BLUE*20/UNI 733.00 |</t>
  </si>
  <si>
    <t xml:space="preserve">141678-7 APPLE IPAD AIR M4 MH9D4LL/A WIFI+5G 128GB 13" - SPACE GRA/UNI 801.00 |</t>
  </si>
  <si>
    <t xml:space="preserve">119373-2 NB APPLE M4 MAX MX303LL/A 36GB/1TB/16.2" - SPACE BLACK *2/UNI 793.00 |</t>
  </si>
  <si>
    <t xml:space="preserve">134774-6 NB APPLE M5 AIR MDH94LL/A 24G/1T SSD/13.6" SILVER /UNI 949.00 |</t>
  </si>
  <si>
    <t xml:space="preserve">134049-5 NB APPLE M5 AIR MDHA4LL/A 16G/512G SSD/13.6" STARLIGHT /UNI 133.00 |</t>
  </si>
  <si>
    <t xml:space="preserve">134775-3 NB APPLE M5 AIR MDHD4LL/A 24G/1T SSD/13.6" STARLIGHT /UNI 107.00 |</t>
  </si>
  <si>
    <t xml:space="preserve">134773-9 NB APPLE M5 AIR MDHG4LL/A 24G/1T SSD/13.6" MIDNIGHT /UNI 891.00 |</t>
  </si>
  <si>
    <t xml:space="preserve">129383-8 NB APPLE M5 MDE34LL/A PRO 24G/1T SSD/14" S.BLACK 25 /UNI 171.00 |</t>
  </si>
  <si>
    <t xml:space="preserve">137291-5 NB APPLE M5 PRO MJLV4LL/A 24G/2T SSD/14.2" SILVER /UNI 795.00 |</t>
  </si>
  <si>
    <t xml:space="preserve">127503-2 CEL APPLE IPHONE 17 PRO 256GB/12 A3256 LL 6.3" COSMIC O E/UNI 277.00 |</t>
  </si>
  <si>
    <t xml:space="preserve">135137-8 CEL SAMSUNG A16 SM-A165F DS/128GB/4 6.7" BLACK SLIM GLOBA/UNI 195.00 |</t>
  </si>
  <si>
    <t xml:space="preserve">135310-5 CEL SAMSUNG A16 SM-A165F DS/128GB/4 6.7" LIGHT GREEN SLIM/UNI 725.00 |</t>
  </si>
  <si>
    <t xml:space="preserve">135138-5 CEL SAMSUNG A16 SM-A165F DS/128GB/4 6.7" LIGHT GREY SLIM /UNI 253.00 |</t>
  </si>
  <si>
    <t xml:space="preserve">136079-0 CEL MOTOROLA EDGE 50 XT2407-2 5G DS/512GB/12 GREEN JASPER/UNI 703.00 |</t>
  </si>
  <si>
    <t xml:space="preserve">134332-8 CEL MOTOROLA EDGE 50 XT2407-2 5G DS/512GB/12 GRYS CARBON /UNI 881.00 |</t>
  </si>
  <si>
    <t xml:space="preserve">132541-6 CEL MOTOROLA G06 XT-2535-2 DS/64GB/4 6.9" TENDRIL (US) /UNI 849.00 |</t>
  </si>
  <si>
    <t xml:space="preserve">16309-5 SWAP IPHONE 15 256GB ESIM A- VERDE(AMERINANO) / 277.00 |</t>
  </si>
  <si>
    <t xml:space="preserve">14469-8 SWAP IPHONE 16 128GB ESIM A ROSA (AMERICANO) / 645.00 |</t>
  </si>
  <si>
    <t xml:space="preserve">119564-4 TABLET XIAOMI MI PAD 7 8GB/256GB 11.2" WIFI GRAY BR /UNI 107.00 |</t>
  </si>
  <si>
    <t xml:space="preserve">126154-7 TABLET XIAOMI REDMI PAD *2* 6RAM/128GB 11" GRAPHITE GRAY /UNI 163.00 |</t>
  </si>
  <si>
    <t xml:space="preserve">139454-2 CEL XIAOMI 17T LEICA 5G DS/512GB/12 6.59" 50/50MXP BLACK /UNI 255.00 |</t>
  </si>
  <si>
    <t xml:space="preserve">133604-7 CEL XIAOMI POCO M8 PRO 5G DS/256GB/8 6.83" BLACK GLOBAL (/UNI 941.00 |</t>
  </si>
  <si>
    <t xml:space="preserve">133605-4 CEL XIAOMI POCO M8 PRO 5G DS/256GB/8 6.83" SILVER GLOBAL /UNI 99.00 |</t>
  </si>
  <si>
    <t xml:space="preserve">131696-4 CEL XIAOMI POCO M8 PRO 5G DS/512GB/12 6.83" GREEN GLOBAL /UNI 677.00 |</t>
  </si>
  <si>
    <t xml:space="preserve">131450-2 CEL XIAOMI POCO M8 PRO 5G DS/512GB/12 6.83" SILVER GLOBAL/UNI 603.00 |</t>
  </si>
  <si>
    <t xml:space="preserve">138261-7 CEL XIAOMI POCO M8 PRO 5G DS/512GB/12 6.83" SILVER GLOBAL/UNI 675.00 |</t>
  </si>
  <si>
    <t xml:space="preserve">134835-4 CEL XIAOMI POCO X8 PRO MAX 5G DS/256GB/12 6.83" 4K BLUE G/UNI 765.00 |</t>
  </si>
  <si>
    <t xml:space="preserve">133964-2 CEL XIAOMI POCO X8 PRO MAX 5G DS/256GB/12 6.83" 4K WHITE /UNI 945.00 |</t>
  </si>
  <si>
    <t xml:space="preserve">135307-5 CEL XIAOMI POCO X8 PRO MAX 5G DS/256GB/12 6.83" 4K WHITE /UNI 161.00 |</t>
  </si>
  <si>
    <t xml:space="preserve">133968-0 CEL XIAOMI POCO X8 PRO MAX 5G DS/512GB/12 6.83" 4K WHITE /UNI 287.75 |</t>
  </si>
  <si>
    <t xml:space="preserve">125552-2 CEL XIAOMI REDMI 15C DS/256GB/8 6.9" 50MP BLUE GLOBAL (BR/UNI 369.75 |</t>
  </si>
  <si>
    <t xml:space="preserve">134150-8 CEL XIAOMI REDMI NOTE 15 PRO+ 5G DS/512GB/12 6.83" BLACK /UNI 699.00 |</t>
  </si>
  <si>
    <t xml:space="preserve">133986-4 CEL XIAOMI REDMI NOTE 15 PRO+ 5G DS/512GB/12 6.83" BLUE G/UNI 351.75 |</t>
  </si>
  <si>
    <t xml:space="preserve">134151-5 CEL XIAOMI REDMI NOTE 15 PRO+ 5G DS/512GB/12 6.83" BROWN /UNI 757.75 |</t>
  </si>
  <si>
    <t xml:space="preserve">136580-1 CEL XIAOMI REDMI NOTE 15 PRO+ 5G DS/512GB/12 6.83" BROWN /UNI 851.75 |</t>
  </si>
  <si>
    <t xml:space="preserve">139976-9 CEL APPLE IPHONE 16 128GB/8 A3288 ZA/A 6.1" WHITE CPO /UNI 271.00 |</t>
  </si>
  <si>
    <t xml:space="preserve">128913-8 CEL APPLE IPHONE 17 256GB/8 A3519 4J 6.3" MIST BLUE /UNI 109.00 |</t>
  </si>
  <si>
    <t xml:space="preserve">128637-3 CEL APPLE IPHONE 17 256GB/8 A3519 4J 6.3" SAGE /UNI 167.00 |</t>
  </si>
  <si>
    <t xml:space="preserve">114776-6 NB APPLE M4 PRO MX2H3LL/A 12C/16C 24G/512G SSD/14" S.BLAC/UNI 709.00 |</t>
  </si>
  <si>
    <t xml:space="preserve">128914-5 NB APPLE M4 PRO MX2J3HN/A 24G/1T SSD/14.2" S.BLACK 24 /UNI 167.00 |</t>
  </si>
  <si>
    <t xml:space="preserve">134052-5 NB APPLE M5 AIR MDV94LL/A 16G/512G SSD/15.3" SILVER /UNI 697.00 |</t>
  </si>
  <si>
    <t xml:space="preserve">139720-8 NB APPLE M5 AIR MDVU4LL/A 24G/1T SSD/15.3" SKY BLUE /UNI 107.00 |</t>
  </si>
  <si>
    <t xml:space="preserve">135360-0 NB APPLE M5 PRO MJLW4LL/A 24G/2T 14" S.BLACK /UNI 275.00 |</t>
  </si>
  <si>
    <t xml:space="preserve">138884-8 CEL XIAOMI 17 ULTRA DS/512GB/16 6.3" 4K 50/50MXP BLACK GL/UNI 867.00 |</t>
  </si>
  <si>
    <t xml:space="preserve">135661-8 CEL XIAOMI 17 ULTRA DS/512GB/16 6.3" 4K 50/50MXP BLACK GL/UNI 707.00 |</t>
  </si>
  <si>
    <t xml:space="preserve">141699-2 CEL XIAOMI 17 ULTRA DS/512GB/16 6.3" 4K 50/50MXP BLACK GL/UNI 139.00 |</t>
  </si>
  <si>
    <t xml:space="preserve">136697-6 CEL XIAOMI 17 ULTRA DS/512GB/16 6.3" 4K 50/50MXP WHITE GL/UNI 595.00 |</t>
  </si>
  <si>
    <t xml:space="preserve">132550-8 CEL SAMSUNG A07 SM-A075F DS/64GB/4 6.7" BLACK SLIM /UNI 881.00 |</t>
  </si>
  <si>
    <t xml:space="preserve">126701-3 CEL SAMSUNG A07 SM-A075M DS/64GB/4 6.7" BLACK SLIM /UNI 247.00 |</t>
  </si>
  <si>
    <t xml:space="preserve">136955-7 CEL MOTOROLA EDGE 60 PRO 2507-2 5G DS/256GB/12 6.7" SHADO/UNI 473.00 |</t>
  </si>
  <si>
    <t xml:space="preserve">131519-6 CEL MOTOROLA G56 XT-2529-2 5G DS/256GB/12 6.7" GREEN (BR)/UNI 913.00 |</t>
  </si>
  <si>
    <t xml:space="preserve">139620-1 CEL MOTOROLA G86 POWER XT-2527-6 5G DS/256GB/8 6.67" CERE/UNI 879.00 |</t>
  </si>
  <si>
    <t xml:space="preserve">138875-6 CEL MOTOROLA G86 POWER XT-2527-6 5G DS/256GB/8 6.67" GOLD/UNI 835.00 |</t>
  </si>
  <si>
    <t xml:space="preserve">135385-3 CEL MOTOROLA G86 POWER XT-2527-6 5G DS/256GB/8 6.67" SPEL/UNI 765.00 |</t>
  </si>
  <si>
    <t xml:space="preserve">8832-9 SWAP IPHONE 13 128GB PINK TELA TROCADA A / 125.00 |</t>
  </si>
  <si>
    <t xml:space="preserve">138348-5 CEL XIAOMI REDMI 15 4G DS/256GB/8 6.9" MIDNIGHT BLACK GLO/UNI 139.00 |</t>
  </si>
  <si>
    <t xml:space="preserve">137451-3 CEL REALME C100X RMX5366 DS/128GB/4 6.8" DEEPBLUE TIDES N/UNI 671.00 |</t>
  </si>
  <si>
    <t xml:space="preserve">137453-7 CEL REALME P4 LITE RMX5377 DS/256GB/4 6.74" GREY.T AN /UNI 797.00 |</t>
  </si>
  <si>
    <t xml:space="preserve">128206-1 APPLE WATCH SE 3 GPS 44MM MEHQ4LW/A MIDNIGHT SPORT BAND M/UNI 247.00 |</t>
  </si>
  <si>
    <t xml:space="preserve">134104-1 APPLE IPAD AIR M4 MH334LL/A WIFI 128GB 11" - STARLIGHT *2/UNI 481.00 |</t>
  </si>
  <si>
    <t xml:space="preserve">139712-3 CEL APPLE IPHONE 14 PRO MAX 128GB/6 A2894 AA/A 6.7" D.PUR/UNI 133.00 |</t>
  </si>
  <si>
    <t xml:space="preserve">132506-5 CEL APPLE IPHONE 14 PRO MAX 128GB/6 A2894 AA/A 6.7" S.BLA/UNI 789.00 |</t>
  </si>
  <si>
    <t xml:space="preserve">132507-2 CEL APPLE IPHONE 14 PRO MAX 128GB/6 A2894 AA/A 6.7" SILVE/UNI 847.00 |</t>
  </si>
  <si>
    <t xml:space="preserve">141728-9 CEL APPLE IPHONE 15 PLUS 256GB/6 A3094 ZD 6.7" PINK S.FIS/UNI 469.00 |</t>
  </si>
  <si>
    <t xml:space="preserve">128636-6 CEL APPLE IPHONE 17 256GB/8 A3519 4J 6.3" LAVENDER /UNI 109.00 |</t>
  </si>
  <si>
    <t xml:space="preserve">130717-7 APPLE IPAD PRO M5 ME7W4LL/A WIFI+5G 256GB 13" SPACE BLACK/UNI 883.00 |</t>
  </si>
  <si>
    <t xml:space="preserve">128822-3 CEL APPLE IPHONE 17 PRO MAX 256GB/12 A3525 4J 6.9" SILVER/UNI 913.00 |</t>
  </si>
  <si>
    <t xml:space="preserve">140726-6 CEL SAMSUNG Z FLIP8 SM-F776B 5G DS/256GB/12 CREAM /UNI 193.00 |</t>
  </si>
  <si>
    <t xml:space="preserve">140727-3 CEL SAMSUNG Z FLIP8 SM-F776B 5G DS/256GB/12 GRAPHITE /UNI 251.00 |</t>
  </si>
  <si>
    <t xml:space="preserve">140728-0 CEL SAMSUNG Z FLIP8 SM-F776B 5G DS/256GB/12 PINK /UNI 309.00 |</t>
  </si>
  <si>
    <t xml:space="preserve">140729-7 CEL SAMSUNG Z FLIP8 SM-F776B 5G DS/512GB/12 CREAM /UNI 377.00 |</t>
  </si>
  <si>
    <t xml:space="preserve">140730-3 CEL SAMSUNG Z FLIP8 SM-F776B 5G DS/512GB/12 GRAPHITE /UNI 815.00 |</t>
  </si>
  <si>
    <t xml:space="preserve">140731-0 CEL SAMSUNG Z FLIP8 SM-F776B 5G DS/512GB/12 PINK /UNI 873.00 |</t>
  </si>
  <si>
    <t xml:space="preserve">140725-9 CEL SAMSUNG Z FOLD8 ULTRA SM-F976B 5G DS/512GB/12 CREAM /UNI 135.00 |</t>
  </si>
  <si>
    <t xml:space="preserve">141664-0 CEL SAMSUNG A57 A576B 5G DS/256GB/8 6.7" AWESOME BLUE SLI/UNI 459.00 |</t>
  </si>
  <si>
    <t xml:space="preserve">140183-7 CEL SAMSUNG A57 A576B 5G DS/256GB/8 6.7" AWESOME GREY SLI/UNI 731.00 |</t>
  </si>
  <si>
    <t xml:space="preserve">141730-2 CEL SAMSUNG A57 A576B 5G DS/256GB/8 6.7" AWESOME LILAC SL/UNI 65.00 |</t>
  </si>
  <si>
    <t xml:space="preserve">140184-4 CEL SAMSUNG A57 A576B 5G DS/256GB/8 6.7" AWESOME NAVY SLI/UNI 789.00 |</t>
  </si>
  <si>
    <t xml:space="preserve">119473-9 CEL SAMSUNG S25 ULTRA SM-S938B 5G DS/256GB/12 6.9" BLACK./UNI 921.00 |</t>
  </si>
  <si>
    <t xml:space="preserve">119475-3 CEL SAMSUNG S25 ULTRA SM-S938B 5G DS/256GB/12 6.9" GREY.T/UNI 137.00 |</t>
  </si>
  <si>
    <t xml:space="preserve">119641-2 CEL SAMSUNG S25 ULTRA SM-S938B 5G DS/256GB/12 6.9" SILVER/UNI 761.00 |</t>
  </si>
  <si>
    <t xml:space="preserve">118125-8 CEL SAMSUNG S25 ULTRA SM-S938B 5G DS/256GB/12 6.9" WH.SIL/UNI 73.00 |</t>
  </si>
  <si>
    <t xml:space="preserve">137025-6 CEL MOTOROLA G56 XT-2529-1 5G DS/256GB/8 6.50" BLACK OYST/UNI 161.00 |</t>
  </si>
  <si>
    <t xml:space="preserve">138974-6 CEL MOTOROLA G77 XT2621-3 DS/256GB/8 6.78" ESMERALDA (US)/UNI 895.00 |</t>
  </si>
  <si>
    <t xml:space="preserve">14767-5 SWAP IPHONE 14 PRO MAX 128GB ESIM A GOLD TELA TROCADA (AM/ 883.00 |</t>
  </si>
  <si>
    <t xml:space="preserve">16470-2 SWAP IPHONE 16 PLUS 128GB ESIM A PINK TELA TROCADA (AMERI/ 483.00 |</t>
  </si>
  <si>
    <t xml:space="preserve">140609-2 TABLET XIAOMI REDMI PAD *2* PRO 8RAM/256GB 12.1" GRAPHITE/UNI 69.00 |</t>
  </si>
  <si>
    <t xml:space="preserve">134272-7 TABLET XIAOMI REDMI PAD *2* PRO 8RAM/256GB 12.1" SILVER W/UNI 223.00 |</t>
  </si>
  <si>
    <t xml:space="preserve">137240-3 CEL XIAOMI POCO C81 PRO DS/64GB/4 6.9" BLACK GLOBAL (BR) /UNI 277.75 |</t>
  </si>
  <si>
    <t xml:space="preserve">136598-6 CEL XIAOMI POCO C81 PRO DS/64GB/4 6.9" BLACK GLOBAL (US) /UNI 535.75 |</t>
  </si>
  <si>
    <t xml:space="preserve">141809-5 CEL XIAOMI POCO C85 DS/256GB/8 6.9" BLACK GLOBAL (ARG) /UNI 465.75 |</t>
  </si>
  <si>
    <t xml:space="preserve">141811-8 CEL XIAOMI POCO C85 DS/256GB/8 6.9" BLACK GLOBAL (US) CX./UNI 71.00 |</t>
  </si>
  <si>
    <t xml:space="preserve">138870-1 CEL XIAOMI POCO X8 PRO 5G DS/256GB/8 6.59" 4K YELLOW GLOB/UNI 525.00 |</t>
  </si>
  <si>
    <t xml:space="preserve">126291-9 CEL XIAOMI REDMI 15C DS/256GB/4 6.9" 50MP GREEN GLOBAL (U/UNI 467.00 |</t>
  </si>
  <si>
    <t xml:space="preserve">141459-2 CEL XIAOMI REDMI 17C DS/256GB/8 6.74" BLACK CH (US) 5209 /UNI 433.00 |</t>
  </si>
  <si>
    <t xml:space="preserve">141460-8 CEL XIAOMI REDMI 17C DS/256GB/8 6.74" BLUE CH (US) 5223 /UNI 881.00 |</t>
  </si>
  <si>
    <t xml:space="preserve">122895-3 CEL XIAOMI REDMI A5 DS/128GB/4 6.88" LAKE GREEN GLOBAL (B/UNI 827.75 |</t>
  </si>
  <si>
    <t xml:space="preserve">119724-2 CEL XIAOMI REDMI A5 DS/128GB/4 6.88" MIDNIGHT BLACK GLOBA/UNI 883.75 |</t>
  </si>
  <si>
    <t xml:space="preserve">119725-9 CEL XIAOMI REDMI A5 DS/128GB/4 6.88" O.BLUE GLOBAL (BR) /UNI 51.75 |</t>
  </si>
  <si>
    <t xml:space="preserve">134068-6 CEL XIAOMI REDMI A7 PRO DS/128GB/4 6.9" BLACK GLOBAL (BR)/UNI 255.75 |</t>
  </si>
  <si>
    <t xml:space="preserve">134070-9 CEL XIAOMI REDMI A7 PRO DS/128GB/4 6.9" MIST BLUE GLOBAL /UNI 761.75 |</t>
  </si>
  <si>
    <t xml:space="preserve">134179-9 CEL XIAOMI REDMI A7 PRO DS/128GB/4 6.9" MIST BLUE GLOBAL /UNI 531.75 |</t>
  </si>
  <si>
    <t xml:space="preserve">134069-3 CEL XIAOMI REDMI A7 PRO DS/128GB/4 6.9" PALM GREEN GLOBAL/UNI 313.75 |</t>
  </si>
  <si>
    <t xml:space="preserve">134171-3 CEL XIAOMI REDMI A7 PRO DS/128GB/4 6.9" PALM GREEN GLOBAL/UNI 937.75 |</t>
  </si>
  <si>
    <t xml:space="preserve">140911-6 CEL XIAOMI REDMI A7 PRO DS/128GB/4 6.9" SUNSET ORANGE GLO/UNI 939.75 |</t>
  </si>
  <si>
    <t xml:space="preserve">134209-3 CEL XIAOMI REDMI A7 PRO DS/64GB/4 6.9" BLACK GLOBAL (US) /UNI 909.75 |</t>
  </si>
  <si>
    <t xml:space="preserve">134074-7 CEL XIAOMI REDMI A7 PRO DS/64GB/4 6.9" MIST BLUE GLOBAL (/UNI 103.75 |</t>
  </si>
  <si>
    <t xml:space="preserve">134073-0 CEL XIAOMI REDMI A7 PRO DS/64GB/4 6.9" PALM GREEN GLOBAL /UNI 935.75 |</t>
  </si>
  <si>
    <t xml:space="preserve">131344-4 CEL XIAOMI REDMI NOTE 15 4G DS/128GB/6 6.77" BLACK GLOBAL/UNI 637.75 |</t>
  </si>
  <si>
    <t xml:space="preserve">141814-9 CEL XIAOMI REDMI NOTE 15 4G DS/128GB/6 6.77" BLACK GLOBAL/UNI 255.75 |</t>
  </si>
  <si>
    <t xml:space="preserve">137317-2 CEL XIAOMI REDMI NOTE 15 4G DS/128GB/6 6.77" BLACK GLOBAL/UNI 551.75 |</t>
  </si>
  <si>
    <t xml:space="preserve">140275-9 CEL XIAOMI REDMI NOTE 15 4G DS/128GB/6 6.77" BLACK GLOBAL/UNI 885.75 |</t>
  </si>
  <si>
    <t xml:space="preserve">141319-9 CEL XIAOMI REDMI NOTE 15 4G DS/128GB/6 6.77" GLA.BLUE GLO/UNI 855.75 |</t>
  </si>
  <si>
    <t xml:space="preserve">131345-1 CEL XIAOMI REDMI NOTE 15 4G DS/128GB/6 6.77" GREEN GLOBAL/UNI 695.75 |</t>
  </si>
  <si>
    <t xml:space="preserve">137316-5 CEL XIAOMI REDMI NOTE 15 4G DS/128GB/6 6.77" GREEN GLOBAL/UNI 493.75 |</t>
  </si>
  <si>
    <t xml:space="preserve">131346-8 CEL XIAOMI REDMI NOTE 15 4G DS/128GB/6 6.77" PURPLE GLOBA/UNI 763.75 |</t>
  </si>
  <si>
    <t xml:space="preserve">141462-2 CEL XIAOMI REDMI NOTE 15 4G DS/128GB/6 6.77" PURPLE GLOBA/UNI 97.75 |</t>
  </si>
  <si>
    <t xml:space="preserve">135291-7 CEL XIAOMI REDMI NOTE 15 4G DS/256GB/8 6.77" PURPLE GLOBA/UNI 495.75 |</t>
  </si>
  <si>
    <t xml:space="preserve">141287-1 CEL XIAOMI REDMI NOTE 15 PRO 5G DS/256GB/8 6.83" BLACK *C/UNI 341.00 |</t>
  </si>
  <si>
    <t xml:space="preserve">141289-5 CEL XIAOMI REDMI NOTE 15 PRO 5G DS/256GB/8 6.83" CYAN *CH/UNI 467.00 |</t>
  </si>
  <si>
    <t xml:space="preserve">141290-1 CEL XIAOMI REDMI NOTE 15 PRO 5G DS/256GB/8 6.83" PURPLE */UNI 905.00 |</t>
  </si>
  <si>
    <t xml:space="preserve">141288-8 CEL XIAOMI REDMI NOTE 15 PRO 5G DS/256GB/8 6.83" WHITE *C/UNI 409.00 |</t>
  </si>
  <si>
    <t xml:space="preserve">131363-5 CEL XIAOMI REDMI NOTE 15 PRO 5G DS/512GB/8 6.83" BLUE GLO/UNI 759.00 |</t>
  </si>
  <si>
    <t xml:space="preserve">131364-2 CEL XIAOMI REDMI NOTE 15 PRO 5G DS/512GB/8 6.83" PURPLE G/UNI 817.00 |</t>
  </si>
  <si>
    <t xml:space="preserve">136433-0 CEL XIAOMI REDMI NOTE 15 PRO 5G DS/512GB/8 6.83" PURPLE G/UNI 457.00 |</t>
  </si>
  <si>
    <t xml:space="preserve">141810-1 CEL XIAOMI REDMI NOTE 15 PRO+ 5G DS/256GB/8 6.83" BLUE GL/UNI 903.00 |</t>
  </si>
  <si>
    <t xml:space="preserve">135398-3 CEL REALME NOTE 60X RMX3938 DS/64GB/4 6.7" GREEN AN (BR) /UNI 139.00 |</t>
  </si>
  <si>
    <t xml:space="preserve">141775-3 CEL REALME NOTE 80 RMX5388 DS/128GB/4 6.74" BLACK ANATEL /UNI 735.00 |</t>
  </si>
  <si>
    <t xml:space="preserve">141774-6 CEL REALME NOTE 80 RMX5388 DS/128GB/4 6.74" BLUE ANATEL /UNI 677.00 |</t>
  </si>
  <si>
    <t xml:space="preserve">128210-8 APPLE WATCH SE 3 GPS 40MM MEH34LW/A STARLIGHT SPORT BAND /UNI 879.00 |</t>
  </si>
  <si>
    <t xml:space="preserve">129129-2 APPLE WATCH SE 3 GPS 40MM MEHC4LW/A MIDNIGHT SPORT BAND M/UNI 643.00 |</t>
  </si>
  <si>
    <t xml:space="preserve">137786-6 NB APPLE MHFD4HN/A NEO A18 PRO 8GB/256GB/13" - CITRUS /UNI 715.00 |</t>
  </si>
  <si>
    <t xml:space="preserve">139085-8 NB APPLE MHFE4HN/A NEO A18 PRO 8GB/512GB/13" - CITRUS /UNI 111.00 |</t>
  </si>
  <si>
    <t xml:space="preserve">137262-5 NB APPLE NEO MHFC4HN/A A18 PRO 8G/512G SSD/13" SILVER /UNI 583.00 |</t>
  </si>
  <si>
    <t xml:space="preserve">134046-4 NB APPLE NEO MHFF4LL/A A18 PRO 8G/256G SSD/13" INDIGO /UNI 849.00 |</t>
  </si>
  <si>
    <t xml:space="preserve">131188-4 CEL APPLE IPHONE 13 128GB/4 A2482 LL 6.1" MIDNIGHT CPO /UNI 103.00 |</t>
  </si>
  <si>
    <t xml:space="preserve">131190-7 CEL APPLE IPHONE 13 128GB/4 A2482 LL 6.1" STARLIGHT CPO /UNI 609.00 |</t>
  </si>
  <si>
    <t xml:space="preserve">135676-2 CEL APPLE IPHONE 13 256GB/4 A2482 LL 6.1" MIDNIGHT CPO /UNI 197.00 |</t>
  </si>
  <si>
    <t xml:space="preserve">133484-5 CEL APPLE IPHONE 13 256GB/4 A2482 LL 6.1" STARLIGHT CPO /UNI 525.00 |</t>
  </si>
  <si>
    <t xml:space="preserve">123506-7 CEL APPLE IPHONE 15 PRO 256GB/8 A2848 LL 6.1" BLUE.T CPO /UNI 761.00 |</t>
  </si>
  <si>
    <t xml:space="preserve">141788-3 CEL APPLE IPHONE 15 PRO MAX 256GB/8 A3108 ZA/A 6.7" BLACK/UNI 109.00 |</t>
  </si>
  <si>
    <t xml:space="preserve">141789-0 CEL APPLE IPHONE 15 PRO MAX 256GB/8 A3108 ZA/A 6.7" NATUR/UNI 167.00 |</t>
  </si>
  <si>
    <t xml:space="preserve">141790-6 CEL APPLE IPHONE 15 PRO MAX 256GB/8 A3108 ZA/A 6.7" WHITE/UNI 615.00 |</t>
  </si>
  <si>
    <t xml:space="preserve">132030-5 CEL APPLE IPHONE 16 128GB/8 A3286 3J/A 6.1" BLACK S.FIS+E/UNI 91.00 |</t>
  </si>
  <si>
    <t xml:space="preserve">132032-9 CEL APPLE IPHONE 16 128GB/8 A3286 3J/A 6.1" WHITE S.FIS+E/UNI 217.00 |</t>
  </si>
  <si>
    <t xml:space="preserve">112959-5 CEL APPLE IPHONE 16 128GB/8 A3287 HN/A 6.1" BLACK S.FIS+E/UNI 649.00 |</t>
  </si>
  <si>
    <t xml:space="preserve">112961-8 CEL APPLE IPHONE 16 128GB/8 A3287 HN/A 6.1" PINK S.FIS+ES/UNI 255.00 |</t>
  </si>
  <si>
    <t xml:space="preserve">112963-2 CEL APPLE IPHONE 16 128GB/8 A3287 HN/A 6.1" TEAL S.FIS+ES/UNI 371.00 |</t>
  </si>
  <si>
    <t xml:space="preserve">112960-1 CEL APPLE IPHONE 16 128GB/8 A3287 HN/A 6.1" ULTRAMARINE S/UNI 187.00 |</t>
  </si>
  <si>
    <t xml:space="preserve">112962-5 CEL APPLE IPHONE 16 128GB/8 A3287 HN/A 6.1" WHITE S.FIS+E/UNI 313.00 |</t>
  </si>
  <si>
    <t xml:space="preserve">133705-1 CEL APPLE IPHONE 16 PRO 128GB/8 A3083 LL/A 6.3" NATURAL.T/UNI 217.00 |</t>
  </si>
  <si>
    <t xml:space="preserve">135511-6 CEL APPLE IPHONE 16E 128GB/6 A3212 LL/A 6.1" BLACK SO PY /UNI 129.00 |</t>
  </si>
  <si>
    <t xml:space="preserve">135512-3 CEL APPLE IPHONE 16E 128GB/6 A3212 LL/A 6.1" WHITE SO PY /UNI 187.00 |</t>
  </si>
  <si>
    <t xml:space="preserve">140362-6 CEL APPLE IPHONE 17E 256GB/8 A3575 4J 6.1" WHITE ESIM /UNI 729.00 |</t>
  </si>
  <si>
    <t xml:space="preserve">141241-3 CEL APPLE IPHONE 17E 256GB/8 A3634 HN 6.1" BLACK ESIM /UNI 513.00 |</t>
  </si>
  <si>
    <t xml:space="preserve">141658-9 CEL APPLE IPHONE 17E 256GB/8 A3634 HN 6.1" BLACK ESIM /UNI 621.00 |</t>
  </si>
  <si>
    <t xml:space="preserve">141242-0 CEL APPLE IPHONE 17E 256GB/8 A3634 HN 6.1" SOFT PINK ESIM/UNI 571.00 |</t>
  </si>
  <si>
    <t xml:space="preserve">141243-7 CEL APPLE IPHONE 17E 256GB/8 A3634 HN 6.1" WHITE ESIM /UNI 639.00 |</t>
  </si>
  <si>
    <t xml:space="preserve">135091-3 NB APPLE M5 AIR MDHK4LL/A 24G/1T 13.6" SKY BLUE /UNI 249.00 |</t>
  </si>
  <si>
    <t xml:space="preserve">127501-8 CEL APPLE IPHONE 17 PRO 256GB/12 A3256 LL 6.3" DEEP BLUE /UNI 161.00 |</t>
  </si>
  <si>
    <t xml:space="preserve">127628-2 CEL APPLE IPHONE 17 PRO 256GB/12 A3256 LL 6.3" SILVER ESI/UNI 885.00 |</t>
  </si>
  <si>
    <t xml:space="preserve">128442-3 CEL APPLE IPHONE 17 PRO MAX 1TB/12 A3257 LL 6.9" SILVER E/UNI 611.00 |</t>
  </si>
  <si>
    <t xml:space="preserve">129220-6 CEL APPLE IPHONE 17 PRO MAX 1TB/12 A3525 4J 6.9" COSMIC O/UNI 219.00 |</t>
  </si>
  <si>
    <t xml:space="preserve">129136-0 CEL APPLE IPHONE 17 PRO MAX 1TB/12 A3525 4J 6.9" SILVER E/UNI 549.00 |</t>
  </si>
  <si>
    <t xml:space="preserve">127497-4 CEL APPLE IPHONE 17 PRO MAX 256GB/12 A3257 LL 6.9" DEEP B/UNI 321.00 |</t>
  </si>
  <si>
    <t xml:space="preserve">127495-0 CEL APPLE IPHONE 17 PRO MAX 256GB/12 A3257 LL 6.9" SILVER/UNI 195.00 |</t>
  </si>
  <si>
    <t xml:space="preserve">139507-5 CEL APPLE IPHONE 17 PRO MAX 256GB/12 A3257 LL 6.9" SILVER/UNI 107.00 |</t>
  </si>
  <si>
    <t xml:space="preserve">127499-8 CEL APPLE IPHONE 17 PRO MAX 512GB/12 A3257 LL 6.9" DEEP B/UNI 447.00 |</t>
  </si>
  <si>
    <t xml:space="preserve">128944-2 CEL APPLE IPHONE 17 PRO MAX 512GB/12 A3525 4J 6.9" SILVER/UNI 437.00 |</t>
  </si>
  <si>
    <t xml:space="preserve">139506-8 CEL APPLE IPHONE 17 PRO MAX 512GB/12 A3525 VC 6.9" DEEP B/UNI 949.00 |</t>
  </si>
  <si>
    <t xml:space="preserve">133478-4 CEL APPLE IPHONE 17 PRO MAX 512GB/12 A3525 VC 6.9" SILVER/UNI 677.00 |</t>
  </si>
  <si>
    <t>MOT</t>
  </si>
  <si>
    <t xml:space="preserve">134254-3 CEL SAMSUNG A57 A576B 5G DS/128GB/8 6.7" VIOLET SLIM /UNI 159.00 |</t>
  </si>
  <si>
    <t xml:space="preserve">138238-9 CEL SAMSUNG S25+ SM-S936W 5G DS/512GB/12 6.6" MINT SLIM A/UNI 831.00 |</t>
  </si>
  <si>
    <t xml:space="preserve">137732-3 CEL SAMSUNG S25+ SM-S936W 5G DS/512GB/12 6.6" PINK SLIM A/UNI 913.00 |</t>
  </si>
  <si>
    <t xml:space="preserve">133591-0 CEL SAMSUNG S26 ULTRA SM-S948B 5G DS/256GB/12 6.9" COBALT/UNI 549.00 |</t>
  </si>
  <si>
    <t xml:space="preserve">133589-7 CEL SAMSUNG S26 ULTRA SM-S948B 5G DS/256GB/12 6.9" WHITE /UNI 53.00 |</t>
  </si>
  <si>
    <t xml:space="preserve">136698-3 CEL MOTOROLA EDGE 70 FUSION X2605-3 5G DS/256GB/8 BLUE (U/UNI 653.00 |</t>
  </si>
  <si>
    <t xml:space="preserve">8297-6 SWAP IPHONE 13 PRO 256GB AZUL A (AMERICANO) / 247.00 |</t>
  </si>
  <si>
    <t xml:space="preserve">8516-8 SWAP IPHONE 13 PRO 256GB GOLD A (AMERICANO) / 723.00 |</t>
  </si>
  <si>
    <t xml:space="preserve">7547-3 SWAP IPHONE 13 PRO MAX 128GB AZUL A (AMERICANO) / 901.00 |</t>
  </si>
  <si>
    <t xml:space="preserve">8703-2 SWAP IPHONE 14 128GB ESIM AZUL A- (AMERICANO) / 685.00 |</t>
  </si>
  <si>
    <t xml:space="preserve">10646-7 SWAP IPHONE 14 PLUS 128GB ESIM A PURPLE(AMERICANO) / 817.00 |</t>
  </si>
  <si>
    <t xml:space="preserve">15127-6 SWAP IPHONE 14 PLUS 128GB ESIM A SILVER (AMERICAO) / 845.00 |</t>
  </si>
  <si>
    <t xml:space="preserve">13230-5 SWAP IPHONE 15 128GB ESIM A ROSA TELA TROCADA (AMERICANO)/ 327.00 |</t>
  </si>
  <si>
    <t xml:space="preserve">15122-1 SWAP IPHONE 15 PLUS 128GB ESIM A PRETO (AMERICANO) / 535.00 |</t>
  </si>
  <si>
    <t xml:space="preserve">11396-0 SWAP IPHONE 15 PRO 256GB ESIM A PRETO (AMERICANO) / 153.00 |</t>
  </si>
  <si>
    <t xml:space="preserve">14423-0 SWAP IPHONE 15 PRO MAX 1TB ESIM A NATURAL(AMERICANO) / 807.00 |</t>
  </si>
  <si>
    <t xml:space="preserve">11081-5 SWAP IPHONE 15 PRO MAX 256GB ESIM A NATURAL (AMERICANO) / 299.00 |</t>
  </si>
  <si>
    <t xml:space="preserve">11387-8 SWAP IPHONE 15 PRO MAX 256GB ESIM A- NATURAL(AMERICANO) / 131.00 |</t>
  </si>
  <si>
    <t xml:space="preserve">13381-4 SWAP IPHONE 16 512GB ESIM A BRANCO (AMERICANO) / 63.00 |</t>
  </si>
  <si>
    <t xml:space="preserve">15595-3 SWAP IPHONE 16 PRO 1TB ESIM A DESERT (AMERICANO) / 941.00 |</t>
  </si>
  <si>
    <t xml:space="preserve">15066-8 SWAP IPHONE 16 PRO MAX 256GB ESIM A DESERT (AMER) / 129.00 |</t>
  </si>
  <si>
    <t xml:space="preserve">15220-4 SWAP IPHONE 16 PRO MAX 256GB ESIM A- NATURAL AMERICANO / 537.00 |</t>
  </si>
  <si>
    <t xml:space="preserve">15105-4 SWAP IPHONE 16 PRO MAX 512GB ESIM A PRETO AMERICANO / 539.00 |</t>
  </si>
  <si>
    <t xml:space="preserve">121544-1 TABLET XIAOMI MI PAD 7 12GB/256GB 11.2" WIFI BLUE BR /UNI 695.00 |</t>
  </si>
  <si>
    <t xml:space="preserve">120090-4 TABLET XIAOMI MI PAD 7 12GB/256GB 11.2" WIFI GRAY BR /UNI 153.00 |</t>
  </si>
  <si>
    <t xml:space="preserve">135145-3 TABLET XIAOMI MI PAD 8 PRO 12GB/512GB 11.2" WIFI GREEN BR/UNI 159.00 |</t>
  </si>
  <si>
    <t xml:space="preserve">131161-7 TABLET XIAOMI PAD MINI 8GB/256GB 8.8" 3K 165HZ WIFI GRAY /UNI 397.00 |</t>
  </si>
  <si>
    <t xml:space="preserve">127272-7 CEL XIAOMI POCO C85 DS/256GB/8 6.9" GREEN GLOBAL (BR) /UNI 495.75 |</t>
  </si>
  <si>
    <t xml:space="preserve">140610-8 CEL XIAOMI POCO M8 5G DS/512GB/8 6.77" BLACK GLOBAL (BR) /UNI 517.00 |</t>
  </si>
  <si>
    <t xml:space="preserve">140076-2 CEL XIAOMI POCO X8 PRO 5G DS/256GB/8 6.59" 4K BLACK GLOBA/UNI 697.00 |</t>
  </si>
  <si>
    <t xml:space="preserve">134602-2 CEL XIAOMI POCO X8 PRO 5G DS/512GB/12 6.59" 4K BLACK GLOB/UNI 65.00 |</t>
  </si>
  <si>
    <t xml:space="preserve">133965-9 CEL XIAOMI POCO X8 PRO MAX 5G DS/256GB/12 6.83" 4K BLUE G/UNI 113.00 |</t>
  </si>
  <si>
    <t xml:space="preserve">125502-7 CEL REALME NOTE 70 RMX5313 DS/128GB/4 6.74" BLACK AN /UNI 819.00 |</t>
  </si>
  <si>
    <t xml:space="preserve">125503-4 CEL REALME NOTE 70 RMX5313 DS/128GB/4 6.74" GOLD AN /UNI 877.00 |</t>
  </si>
  <si>
    <t xml:space="preserve">136850-5 FONE REALME BUDS AIR 8 PRO RMA2507A MASTER BLACK /UNI 945.00 |</t>
  </si>
  <si>
    <t xml:space="preserve">128208-5 APPLE WATCH SE 3 GPS 40MM MEH94LW/A MIDNIGHT SPORT BAND S/UNI 373.00 |</t>
  </si>
  <si>
    <t xml:space="preserve">134380-9 NB APPLE MHFE4LL/A NEO A18 PRO 8GB/512GB/13" - CITRUS /UNI 315.00 |</t>
  </si>
  <si>
    <t xml:space="preserve">137784-2 NB APPLE MHFF4HN/A NEO A18 PRO 8GB/256GB/13" - INDIGO /UNI 589.00 |</t>
  </si>
  <si>
    <t xml:space="preserve">134379-3 NB APPLE MHFG4LL/A NEO A18 PRO 8GB/512GB/13" - INDIGO /UNI 767.00 |</t>
  </si>
  <si>
    <t xml:space="preserve">137787-3 NB APPLE MHFH4HN/A NEO A18 PRO 8GB/256GB/13" - BLUSH /UNI 773.00 |</t>
  </si>
  <si>
    <t xml:space="preserve">134047-1 NB APPLE NEO MHFA4LL/A A18 PRO 8G/256G SSD/13" SILVER /UNI 907.00 |</t>
  </si>
  <si>
    <t xml:space="preserve">134044-0 NB APPLE NEO MHFH4LL/A A18 PRO 8G/256G SSD/13" BLUSH /UNI 723.00 |</t>
  </si>
  <si>
    <t xml:space="preserve">132033-6 CEL APPLE IPHONE 16 128GB/8 A3286 3J/A 6.1" PINK S.FIS+ES/UNI 275.00 |</t>
  </si>
  <si>
    <t xml:space="preserve">134051-8 NB APPLE M5 AIR MDHH4LL/A 16G/512G SSD/13.6" SKY BLUE /UNI 639.00 |</t>
  </si>
  <si>
    <t xml:space="preserve">141166-9 NB APPLE M5 AIR MDVC4LL/A 24G/1T SSD/15.3" SILVER /UNI 885.00 |</t>
  </si>
  <si>
    <t xml:space="preserve">134053-2 NB APPLE M5 AIR MDVD4LL/A 16G/512G SSD/15.3" STARLIGHT /UNI 755.00 |</t>
  </si>
  <si>
    <t xml:space="preserve">135634-2 NB APPLE M5 MJ3D4LL/A PRO 32G/1T SSD/14" S.BLACK 26 /UNI 611.00 |</t>
  </si>
  <si>
    <t xml:space="preserve">135361-7 NB APPLE M5 MJ3E4LL/A PRO 32G/1T 14" SILVER 26 /UNI 343.00 |</t>
  </si>
  <si>
    <t xml:space="preserve">141852-1 CEL APPLE IPHONE 16 PRO MAX 256GB/8 A3297 ZA 6.9" BLACK.T/UNI 489.00 |</t>
  </si>
  <si>
    <t xml:space="preserve">141853-8 CEL APPLE IPHONE 16 PRO MAX 256GB/8 A3297 ZA 6.9" WHITE.T/UNI 557.00 |</t>
  </si>
  <si>
    <t xml:space="preserve">128070-8 CEL APPLE IPHONE 17 PRO MAX 1TB/12 A3257 LL 6.9" COSMIC O/UNI 283.00 |</t>
  </si>
  <si>
    <t xml:space="preserve">138317-1 CEL APPLE IPHONE 17 PRO MAX 256GB/12 A3257 LL 6.9" COSMIC/UNI 701.00 |</t>
  </si>
  <si>
    <t xml:space="preserve">15721-6 SWAP IPHONE 17 PRO 256GB ESIM A BLUE GARANTIA APPLE (AMER/ 305.00 |</t>
  </si>
  <si>
    <t xml:space="preserve">15949-4 SWAP IPHONE 17 PRO 256GB ESIM A ORANGE (AMERICANO) / 315.00 |</t>
  </si>
  <si>
    <t xml:space="preserve">15950-0 SWAP IPHONE 17 PRO 256GB ESIM A SILVER (AMERICANO) / 753.00 |</t>
  </si>
  <si>
    <t xml:space="preserve">16059-9 SWAP IPHONE 17 PRO MAX 256GB ESIM A SILVER (AMERICANO) / 373.00 |</t>
  </si>
  <si>
    <t xml:space="preserve">140723-5 CEL SAMSUNG Z FOLD8 ULTRA SM-F976B 5G DS/512GB/12 VIOLET /UNI 909.00</t>
  </si>
  <si>
    <t xml:space="preserve">138935-7 CEL MOTOROLA SIGNATURE XT-2603-2 5G DS/1TB/16 6.8" MARTIN/UNI 593.00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</si>
</sst>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haroni"/>
      <charset val="177"/>
    </font>
    <font>
      <sz val="11"/>
      <color rgb="FFFFC000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9" fontId="0" fillId="0" borderId="0" xfId="0" applyNumberFormat="1"/>
    <xf numFmtId="44" fontId="0" fillId="0" borderId="0" xfId="1" applyFont="1"/>
    <xf numFmtId="0" fontId="4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3CD115-E9F2-4A36-ACC2-3E90BF120E58}" name="Tabela4" displayName="Tabela4" ref="A1:A223" totalsRowShown="0">
  <autoFilter ref="A1:A223" xr:uid="{C63CD115-E9F2-4A36-ACC2-3E90BF120E58}"/>
  <tableColumns count="1">
    <tableColumn id="1" xr3:uid="{62774B85-1F60-4FF0-96BC-9ED56F496956}" name="Colu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A7AE08-DF8B-4F63-ADE9-F53E0F7206FD}" name="Tabela3" displayName="Tabela3" ref="A1:A419" totalsRowShown="0">
  <autoFilter ref="A1:A419" xr:uid="{FEA7AE08-DF8B-4F63-ADE9-F53E0F7206FD}"/>
  <tableColumns count="1">
    <tableColumn id="1" xr3:uid="{33507514-C534-4D41-AA78-B266FE4F774B}" name="Coluna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F7F0B-3147-4B2B-BA70-3CCFA252177C}" name="Tabela2" displayName="Tabela2" ref="A1:A136" totalsRowShown="0">
  <autoFilter ref="A1:A136" xr:uid="{7D4F7F0B-3147-4B2B-BA70-3CCFA252177C}"/>
  <tableColumns count="1">
    <tableColumn id="1" xr3:uid="{D2EA81F0-D3FB-44E8-86D4-9011F7C187C8}" name="Coluna1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B5B40-9226-4D26-A9ED-72DE4A4BB75F}" name="Tabela1" displayName="Tabela1" ref="A1:A133" totalsRowShown="0">
  <autoFilter ref="A1:A133" xr:uid="{AB7B5B40-9226-4D26-A9ED-72DE4A4BB75F}"/>
  <tableColumns count="1">
    <tableColumn id="1" xr3:uid="{69ED25F6-1271-468B-82A8-25058ECBFEB4}" name="Coluna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9FDB832F-3D3B-40DD-8651-5CF2E815304E}">
  <dimension ref="A1:G223"/>
  <sheetViews>
    <sheetView tabSelected="1" workbookViewId="0">
      <selection activeCell="L13" sqref="L13"/>
    </sheetView>
  </sheetViews>
  <sheetFormatPr defaultRowHeight="15" ns3:dyDescent="0.25"/>
  <cols>
    <col min="1" max="1" width="68.7109375" customWidth="1"/>
    <col min="2" max="6" width="0" hidden="1" customWidth="1"/>
    <col min="7" max="7" width="13.28515625" style="3" bestFit="1" customWidth="1"/>
  </cols>
  <sheetData>
    <row r="1" spans="1:7" ns3:dyDescent="0.25">
      <c r="A1" t="s">
        <v>74</v>
      </c>
    </row>
    <row r="2" spans="1:7" ns3:dyDescent="0.25">
      <c r="A2" t="s">
        <v>104</v>
      </c>
      <c r="B2">
        <v>103.0</v>
      </c>
      <c r="C2" s="2">
        <v>0.15</v>
      </c>
      <c r="D2">
        <v>30</v>
      </c>
      <c r="E2">
        <f>5.23*B2</f>
        <v>538.69</v>
      </c>
      <c r="F2">
        <f>E2*C2</f>
        <v>80.8035</v>
      </c>
      <c r="G2" s="3">
        <f>F2+E2+D2</f>
        <v>649.4935</v>
      </c>
    </row>
    <row r="3" spans="1:7" ns3:dyDescent="0.25">
      <c r="A3" t="s">
        <v>105</v>
      </c>
      <c r="B3">
        <v>307.0</v>
      </c>
      <c r="C3" s="2">
        <v>0.15</v>
      </c>
      <c r="D3">
        <v>30</v>
      </c>
      <c r="E3">
        <f t="shared" ref="E3:E66" si="0">5.23*B3</f>
        <v>1605.61</v>
      </c>
      <c r="F3">
        <f t="shared" ref="F3:F66" si="1">E3*C3</f>
        <v>240.8415</v>
      </c>
      <c r="G3" s="3">
        <f t="shared" ref="G3:G66" si="2">F3+E3+D3</f>
        <v>1876.4515</v>
      </c>
    </row>
    <row r="4" spans="1:7" ns3:dyDescent="0.25">
      <c r="A4" t="s">
        <v>106</v>
      </c>
      <c r="B4">
        <v>179.0</v>
      </c>
      <c r="C4" s="2">
        <v>0.15</v>
      </c>
      <c r="D4">
        <v>30</v>
      </c>
      <c r="E4">
        <f t="shared" si="0"/>
        <v>936.17</v>
      </c>
      <c r="F4">
        <f t="shared" si="1"/>
        <v>140.4255</v>
      </c>
      <c r="G4" s="3">
        <f t="shared" si="2"/>
        <v>1106.5955</v>
      </c>
    </row>
    <row r="5" spans="1:7" ns3:dyDescent="0.25">
      <c r="A5" t="s">
        <v>107</v>
      </c>
      <c r="B5">
        <v>625.0</v>
      </c>
      <c r="C5" s="2">
        <v>0.15</v>
      </c>
      <c r="D5">
        <v>30</v>
      </c>
      <c r="E5">
        <f t="shared" si="0"/>
        <v>3268.75</v>
      </c>
      <c r="F5">
        <f t="shared" si="1"/>
        <v>490.3125</v>
      </c>
      <c r="G5" s="3">
        <f t="shared" si="2"/>
        <v>3789.0625</v>
      </c>
    </row>
    <row r="6" spans="1:7" ns3:dyDescent="0.25">
      <c r="A6" t="s">
        <v>108</v>
      </c>
      <c r="B6">
        <v>161.0</v>
      </c>
      <c r="C6" s="2">
        <v>0.15</v>
      </c>
      <c r="D6">
        <v>30</v>
      </c>
      <c r="E6">
        <f t="shared" si="0"/>
        <v>842.03</v>
      </c>
      <c r="F6">
        <f t="shared" si="1"/>
        <v>126.3045</v>
      </c>
      <c r="G6" s="3">
        <f t="shared" si="2"/>
        <v>998.3345</v>
      </c>
    </row>
    <row r="7" spans="1:7" ns3:dyDescent="0.25">
      <c r="A7" t="s">
        <v>109</v>
      </c>
      <c r="B7">
        <v>635.0</v>
      </c>
      <c r="C7" s="2">
        <v>0.15</v>
      </c>
      <c r="D7">
        <v>30</v>
      </c>
      <c r="E7">
        <f t="shared" si="0"/>
        <v>3321.05</v>
      </c>
      <c r="F7">
        <f t="shared" si="1"/>
        <v>498.1575</v>
      </c>
      <c r="G7" s="3">
        <f t="shared" si="2"/>
        <v>3849.2075</v>
      </c>
    </row>
    <row r="8" spans="1:7" ns3:dyDescent="0.25">
      <c r="A8" t="s">
        <v>589</v>
      </c>
      <c r="B8">
        <v>683.0</v>
      </c>
      <c r="C8" s="2">
        <v>0.15</v>
      </c>
      <c r="D8">
        <v>30</v>
      </c>
      <c r="E8">
        <f t="shared" si="0"/>
        <v>3572.09</v>
      </c>
      <c r="F8">
        <f t="shared" si="1"/>
        <v>535.8135</v>
      </c>
      <c r="G8" s="3">
        <f t="shared" si="2"/>
        <v>4137.9035</v>
      </c>
    </row>
    <row r="9" spans="1:7" ns3:dyDescent="0.25">
      <c r="A9" t="s">
        <v>110</v>
      </c>
      <c r="B9">
        <v>355.0</v>
      </c>
      <c r="C9" s="2">
        <v>0.15</v>
      </c>
      <c r="D9">
        <v>30</v>
      </c>
      <c r="E9">
        <f t="shared" si="0"/>
        <v>1856.65</v>
      </c>
      <c r="F9">
        <f t="shared" si="1"/>
        <v>278.4975</v>
      </c>
      <c r="G9" s="3">
        <f t="shared" si="2"/>
        <v>2165.1475</v>
      </c>
    </row>
    <row r="10" spans="1:7" ns3:dyDescent="0.25">
      <c r="A10" t="s">
        <v>111</v>
      </c>
      <c r="B10">
        <v>123.0</v>
      </c>
      <c r="C10" s="2">
        <v>0.15</v>
      </c>
      <c r="D10">
        <v>30</v>
      </c>
      <c r="E10">
        <f t="shared" si="0"/>
        <v>643.29</v>
      </c>
      <c r="F10">
        <f t="shared" si="1"/>
        <v>96.4935</v>
      </c>
      <c r="G10" s="3">
        <f t="shared" si="2"/>
        <v>769.7835</v>
      </c>
    </row>
    <row r="11" spans="1:7" ns3:dyDescent="0.25">
      <c r="A11" t="s">
        <v>590</v>
      </c>
      <c r="B11">
        <v>793.0</v>
      </c>
      <c r="C11" s="2">
        <v>0.15</v>
      </c>
      <c r="D11">
        <v>30</v>
      </c>
      <c r="E11">
        <f t="shared" si="0"/>
        <v>4147.39</v>
      </c>
      <c r="F11">
        <f t="shared" si="1"/>
        <v>622.1085</v>
      </c>
      <c r="G11" s="3">
        <f t="shared" si="2"/>
        <v>4799.4985</v>
      </c>
    </row>
    <row r="12" spans="1:7" ns3:dyDescent="0.25">
      <c r="A12" t="s">
        <v>112</v>
      </c>
      <c r="B12">
        <v>191.0</v>
      </c>
      <c r="C12" s="2">
        <v>0.15</v>
      </c>
      <c r="D12">
        <v>30</v>
      </c>
      <c r="E12">
        <f t="shared" si="0"/>
        <v>998.93</v>
      </c>
      <c r="F12">
        <f t="shared" si="1"/>
        <v>149.8395</v>
      </c>
      <c r="G12" s="3">
        <f t="shared" si="2"/>
        <v>1178.7695</v>
      </c>
    </row>
    <row r="13" spans="1:7" ns3:dyDescent="0.25">
      <c r="A13" t="s">
        <v>591</v>
      </c>
      <c r="B13">
        <v>487.0</v>
      </c>
      <c r="C13" s="2">
        <v>0.15</v>
      </c>
      <c r="D13">
        <v>30</v>
      </c>
      <c r="E13">
        <f t="shared" si="0"/>
        <v>2547.01</v>
      </c>
      <c r="F13">
        <f t="shared" si="1"/>
        <v>382.0515</v>
      </c>
      <c r="G13" s="3">
        <f t="shared" si="2"/>
        <v>2959.0615</v>
      </c>
    </row>
    <row r="14" spans="1:7" ns3:dyDescent="0.25">
      <c r="A14" t="s">
        <v>113</v>
      </c>
      <c r="B14">
        <v>577.0</v>
      </c>
      <c r="C14" s="2">
        <v>0.15</v>
      </c>
      <c r="D14">
        <v>30</v>
      </c>
      <c r="E14">
        <f t="shared" si="0"/>
        <v>3017.71</v>
      </c>
      <c r="F14">
        <f t="shared" si="1"/>
        <v>452.6565</v>
      </c>
      <c r="G14" s="3">
        <f t="shared" si="2"/>
        <v>3500.3665</v>
      </c>
    </row>
    <row r="15" spans="1:7" ns3:dyDescent="0.25">
      <c r="A15" t="s">
        <v>114</v>
      </c>
      <c r="B15">
        <v>555.0</v>
      </c>
      <c r="C15" s="2">
        <v>0.15</v>
      </c>
      <c r="D15">
        <v>30</v>
      </c>
      <c r="E15">
        <f t="shared" si="0"/>
        <v>2902.65</v>
      </c>
      <c r="F15">
        <f t="shared" si="1"/>
        <v>435.3975</v>
      </c>
      <c r="G15" s="3">
        <f t="shared" si="2"/>
        <v>3368.0475</v>
      </c>
    </row>
    <row r="16" spans="1:7" ns3:dyDescent="0.25">
      <c r="A16" t="s">
        <v>115</v>
      </c>
      <c r="B16">
        <v>645.0</v>
      </c>
      <c r="C16" s="2">
        <v>0.15</v>
      </c>
      <c r="D16">
        <v>30</v>
      </c>
      <c r="E16">
        <f t="shared" si="0"/>
        <v>3373.35</v>
      </c>
      <c r="F16">
        <f t="shared" si="1"/>
        <v>506.0025</v>
      </c>
      <c r="G16" s="3">
        <f t="shared" si="2"/>
        <v>3909.3525</v>
      </c>
    </row>
    <row r="17" spans="1:7" ns3:dyDescent="0.25">
      <c r="A17" t="s">
        <v>592</v>
      </c>
      <c r="B17">
        <v>429.0</v>
      </c>
      <c r="C17" s="2">
        <v>0.15</v>
      </c>
      <c r="D17">
        <v>30</v>
      </c>
      <c r="E17">
        <f t="shared" si="0"/>
        <v>2243.67</v>
      </c>
      <c r="F17">
        <f t="shared" si="1"/>
        <v>336.5505</v>
      </c>
      <c r="G17" s="3">
        <f t="shared" si="2"/>
        <v>2610.2205</v>
      </c>
    </row>
    <row r="18" spans="1:7" ns3:dyDescent="0.25">
      <c r="A18" t="s">
        <v>116</v>
      </c>
      <c r="B18">
        <v>703.0</v>
      </c>
      <c r="C18" s="2">
        <v>0.15</v>
      </c>
      <c r="D18">
        <v>30</v>
      </c>
      <c r="E18">
        <f t="shared" si="0"/>
        <v>3676.69</v>
      </c>
      <c r="F18">
        <f t="shared" si="1"/>
        <v>551.5035</v>
      </c>
      <c r="G18" s="3">
        <f t="shared" si="2"/>
        <v>4258.1935</v>
      </c>
    </row>
    <row r="19" spans="1:7" ns3:dyDescent="0.25">
      <c r="A19" t="s">
        <v>117</v>
      </c>
      <c r="B19">
        <v>261.0</v>
      </c>
      <c r="C19" s="2">
        <v>0.15</v>
      </c>
      <c r="D19">
        <v>30</v>
      </c>
      <c r="E19">
        <f t="shared" si="0"/>
        <v>1365.03</v>
      </c>
      <c r="F19">
        <f t="shared" si="1"/>
        <v>204.7545</v>
      </c>
      <c r="G19" s="3">
        <f t="shared" si="2"/>
        <v>1599.7845</v>
      </c>
    </row>
    <row r="20" spans="1:7" ns3:dyDescent="0.25">
      <c r="A20" t="s">
        <v>118</v>
      </c>
      <c r="B20">
        <v>723.0</v>
      </c>
      <c r="C20" s="2">
        <v>0.15</v>
      </c>
      <c r="D20">
        <v>30</v>
      </c>
      <c r="E20">
        <f t="shared" si="0"/>
        <v>3781.29</v>
      </c>
      <c r="F20">
        <f t="shared" si="1"/>
        <v>567.1935</v>
      </c>
      <c r="G20" s="3">
        <f t="shared" si="2"/>
        <v>4378.4835</v>
      </c>
    </row>
    <row r="21" spans="1:7" ns3:dyDescent="0.25">
      <c r="A21" t="s">
        <v>119</v>
      </c>
      <c r="B21">
        <v>845.0</v>
      </c>
      <c r="C21" s="2">
        <v>0.15</v>
      </c>
      <c r="D21">
        <v>30</v>
      </c>
      <c r="E21">
        <f t="shared" si="0"/>
        <v>4419.35</v>
      </c>
      <c r="F21">
        <f t="shared" si="1"/>
        <v>662.9025</v>
      </c>
      <c r="G21" s="3">
        <f t="shared" si="2"/>
        <v>5112.2525</v>
      </c>
    </row>
    <row r="22" spans="1:7" ns3:dyDescent="0.25">
      <c r="A22" t="s">
        <v>120</v>
      </c>
      <c r="B22">
        <v>79.0</v>
      </c>
      <c r="C22" s="2">
        <v>0.15</v>
      </c>
      <c r="D22">
        <v>30</v>
      </c>
      <c r="E22">
        <f t="shared" si="0"/>
        <v>413.17</v>
      </c>
      <c r="F22">
        <f t="shared" si="1"/>
        <v>61.9755</v>
      </c>
      <c r="G22" s="3">
        <f t="shared" si="2"/>
        <v>505.1455</v>
      </c>
    </row>
    <row r="23" spans="1:7" ns3:dyDescent="0.25">
      <c r="A23" t="s">
        <v>121</v>
      </c>
      <c r="B23">
        <v>105.0</v>
      </c>
      <c r="C23" s="2">
        <v>0.15</v>
      </c>
      <c r="D23">
        <v>30</v>
      </c>
      <c r="E23">
        <f t="shared" si="0"/>
        <v>549.15</v>
      </c>
      <c r="F23">
        <f t="shared" si="1"/>
        <v>82.3725</v>
      </c>
      <c r="G23" s="3">
        <f t="shared" si="2"/>
        <v>661.5225</v>
      </c>
    </row>
    <row r="24" spans="1:7" ns3:dyDescent="0.25">
      <c r="A24" t="s">
        <v>134</v>
      </c>
      <c r="B24">
        <v>367.0</v>
      </c>
      <c r="C24" s="2">
        <v>0.15</v>
      </c>
      <c r="D24">
        <v>30</v>
      </c>
      <c r="E24">
        <f t="shared" si="0"/>
        <v>1919.41</v>
      </c>
      <c r="F24">
        <f t="shared" si="1"/>
        <v>287.9115</v>
      </c>
      <c r="G24" s="3">
        <f t="shared" si="2"/>
        <v>2237.3215</v>
      </c>
    </row>
    <row r="25" spans="1:7" ns3:dyDescent="0.25">
      <c r="A25" t="s">
        <v>135</v>
      </c>
      <c r="B25">
        <v>67.0</v>
      </c>
      <c r="C25" s="2">
        <v>0.15</v>
      </c>
      <c r="D25">
        <v>30</v>
      </c>
      <c r="E25">
        <f t="shared" si="0"/>
        <v>350.41</v>
      </c>
      <c r="F25">
        <f t="shared" si="1"/>
        <v>52.5615</v>
      </c>
      <c r="G25" s="3">
        <f t="shared" si="2"/>
        <v>432.9715</v>
      </c>
    </row>
    <row r="26" spans="1:7" ns3:dyDescent="0.25">
      <c r="A26" t="s">
        <v>136</v>
      </c>
      <c r="B26">
        <v>163.0</v>
      </c>
      <c r="C26" s="2">
        <v>0.15</v>
      </c>
      <c r="D26">
        <v>30</v>
      </c>
      <c r="E26">
        <f t="shared" si="0"/>
        <v>852.49</v>
      </c>
      <c r="F26">
        <f t="shared" si="1"/>
        <v>127.8735</v>
      </c>
      <c r="G26" s="3">
        <f t="shared" si="2"/>
        <v>1010.3635</v>
      </c>
    </row>
    <row r="27" spans="1:7" ns3:dyDescent="0.25">
      <c r="A27" t="s">
        <v>137</v>
      </c>
      <c r="B27">
        <v>201.0</v>
      </c>
      <c r="C27" s="2">
        <v>0.15</v>
      </c>
      <c r="D27">
        <v>30</v>
      </c>
      <c r="E27">
        <f t="shared" si="0"/>
        <v>1051.23</v>
      </c>
      <c r="F27">
        <f t="shared" si="1"/>
        <v>157.6845</v>
      </c>
      <c r="G27" s="3">
        <f t="shared" si="2"/>
        <v>1238.9145</v>
      </c>
    </row>
    <row r="28" spans="1:7" ns3:dyDescent="0.25">
      <c r="A28" t="s">
        <v>639</v>
      </c>
      <c r="B28">
        <v>259.0</v>
      </c>
      <c r="C28" s="2">
        <v>0.15</v>
      </c>
      <c r="D28">
        <v>30</v>
      </c>
      <c r="E28">
        <f t="shared" si="0"/>
        <v>1354.57</v>
      </c>
      <c r="F28">
        <f t="shared" si="1"/>
        <v>203.1855</v>
      </c>
      <c r="G28" s="3">
        <f t="shared" si="2"/>
        <v>1587.7555</v>
      </c>
    </row>
    <row r="29" spans="1:7" ns3:dyDescent="0.25">
      <c r="A29" t="s">
        <v>640</v>
      </c>
      <c r="B29">
        <v>751.0</v>
      </c>
      <c r="C29" s="2">
        <v>0.15</v>
      </c>
      <c r="D29">
        <v>30</v>
      </c>
      <c r="E29">
        <f t="shared" si="0"/>
        <v>3927.73</v>
      </c>
      <c r="F29">
        <f t="shared" si="1"/>
        <v>589.1595</v>
      </c>
      <c r="G29" s="3">
        <f t="shared" si="2"/>
        <v>4546.8895</v>
      </c>
    </row>
    <row r="30" spans="1:7" ns3:dyDescent="0.25">
      <c r="A30" t="s">
        <v>641</v>
      </c>
      <c r="B30">
        <v>287.0</v>
      </c>
      <c r="C30" s="2">
        <v>0.15</v>
      </c>
      <c r="D30">
        <v>30</v>
      </c>
      <c r="E30">
        <f t="shared" si="0"/>
        <v>1501.01</v>
      </c>
      <c r="F30">
        <f t="shared" si="1"/>
        <v>225.1515</v>
      </c>
      <c r="G30" s="3">
        <f t="shared" si="2"/>
        <v>1756.1615</v>
      </c>
    </row>
    <row r="31" spans="1:7" ns3:dyDescent="0.25">
      <c r="A31" t="s">
        <v>122</v>
      </c>
      <c r="B31">
        <v>653.0</v>
      </c>
      <c r="C31" s="2">
        <v>0.1</v>
      </c>
      <c r="D31">
        <v>60</v>
      </c>
      <c r="E31">
        <f t="shared" si="0"/>
        <v>3415.19</v>
      </c>
      <c r="F31">
        <f t="shared" si="1"/>
        <v>341.519</v>
      </c>
      <c r="G31" s="3">
        <f t="shared" si="2"/>
        <v>3816.709</v>
      </c>
    </row>
    <row r="32" spans="1:7" ns3:dyDescent="0.25">
      <c r="A32" t="s">
        <v>123</v>
      </c>
      <c r="B32">
        <v>495.0</v>
      </c>
      <c r="C32" s="2">
        <v>0.1</v>
      </c>
      <c r="D32">
        <v>60</v>
      </c>
      <c r="E32">
        <f t="shared" si="0"/>
        <v>2588.85</v>
      </c>
      <c r="F32">
        <f t="shared" si="1"/>
        <v>258.885</v>
      </c>
      <c r="G32" s="3">
        <f t="shared" si="2"/>
        <v>2907.735</v>
      </c>
    </row>
    <row r="33" spans="1:7" ns3:dyDescent="0.25">
      <c r="A33" t="s">
        <v>124</v>
      </c>
      <c r="B33">
        <v>445.0</v>
      </c>
      <c r="C33" s="2">
        <v>0.1</v>
      </c>
      <c r="D33">
        <v>60</v>
      </c>
      <c r="E33">
        <f t="shared" si="0"/>
        <v>2327.35</v>
      </c>
      <c r="F33">
        <f t="shared" si="1"/>
        <v>232.735</v>
      </c>
      <c r="G33" s="3">
        <f t="shared" si="2"/>
        <v>2620.085</v>
      </c>
    </row>
    <row r="34" spans="1:7" ns3:dyDescent="0.25">
      <c r="A34" t="s">
        <v>125</v>
      </c>
      <c r="B34">
        <v>259.0</v>
      </c>
      <c r="C34" s="2">
        <v>0.1</v>
      </c>
      <c r="D34">
        <v>60</v>
      </c>
      <c r="E34">
        <f t="shared" si="0"/>
        <v>1354.57</v>
      </c>
      <c r="F34">
        <f t="shared" si="1"/>
        <v>135.457</v>
      </c>
      <c r="G34" s="3">
        <f t="shared" si="2"/>
        <v>1550.027</v>
      </c>
    </row>
    <row r="35" spans="1:7" ns3:dyDescent="0.25">
      <c r="A35" t="s">
        <v>126</v>
      </c>
      <c r="B35">
        <v>641.0</v>
      </c>
      <c r="C35" s="2">
        <v>0.1</v>
      </c>
      <c r="D35">
        <v>60</v>
      </c>
      <c r="E35">
        <f t="shared" si="0"/>
        <v>3352.43</v>
      </c>
      <c r="F35">
        <f t="shared" si="1"/>
        <v>335.243</v>
      </c>
      <c r="G35" s="3">
        <f t="shared" si="2"/>
        <v>3747.673</v>
      </c>
    </row>
    <row r="36" spans="1:7" ns3:dyDescent="0.25">
      <c r="A36" t="s">
        <v>127</v>
      </c>
      <c r="B36">
        <v>443.0</v>
      </c>
      <c r="C36" s="2">
        <v>0.1</v>
      </c>
      <c r="D36">
        <v>60</v>
      </c>
      <c r="E36">
        <f t="shared" si="0"/>
        <v>2316.89</v>
      </c>
      <c r="F36">
        <f t="shared" si="1"/>
        <v>231.689</v>
      </c>
      <c r="G36" s="3">
        <f t="shared" si="2"/>
        <v>2608.579</v>
      </c>
    </row>
    <row r="37" spans="1:7" ns3:dyDescent="0.25">
      <c r="A37" t="s">
        <v>128</v>
      </c>
      <c r="B37">
        <v>501.0</v>
      </c>
      <c r="C37" s="2">
        <v>0.1</v>
      </c>
      <c r="D37">
        <v>60</v>
      </c>
      <c r="E37">
        <f t="shared" si="0"/>
        <v>2620.23</v>
      </c>
      <c r="F37">
        <f t="shared" si="1"/>
        <v>262.023</v>
      </c>
      <c r="G37" s="3">
        <f t="shared" si="2"/>
        <v>2942.253</v>
      </c>
    </row>
    <row r="38" spans="1:7" ns3:dyDescent="0.25">
      <c r="A38" t="s">
        <v>129</v>
      </c>
      <c r="B38">
        <v>827.0</v>
      </c>
      <c r="C38" s="2">
        <v>0.1</v>
      </c>
      <c r="D38">
        <v>60</v>
      </c>
      <c r="E38">
        <f t="shared" si="0"/>
        <v>4325.21</v>
      </c>
      <c r="F38">
        <f t="shared" si="1"/>
        <v>432.521</v>
      </c>
      <c r="G38" s="3">
        <f t="shared" si="2"/>
        <v>4817.731</v>
      </c>
    </row>
    <row r="39" spans="1:7" ns3:dyDescent="0.25">
      <c r="A39" t="s">
        <v>642</v>
      </c>
      <c r="B39">
        <v>699.0</v>
      </c>
      <c r="C39" s="2">
        <v>0.1</v>
      </c>
      <c r="D39">
        <v>60</v>
      </c>
      <c r="E39">
        <f t="shared" si="0"/>
        <v>3655.77</v>
      </c>
      <c r="F39">
        <f t="shared" si="1"/>
        <v>365.577</v>
      </c>
      <c r="G39" s="3">
        <f t="shared" si="2"/>
        <v>4081.347</v>
      </c>
    </row>
    <row r="40" spans="1:7" ns3:dyDescent="0.25">
      <c r="A40" t="s">
        <v>643</v>
      </c>
      <c r="B40">
        <v>427.0</v>
      </c>
      <c r="C40" s="2">
        <v>0.1</v>
      </c>
      <c r="D40">
        <v>60</v>
      </c>
      <c r="E40">
        <f t="shared" si="0"/>
        <v>2233.21</v>
      </c>
      <c r="F40">
        <f t="shared" si="1"/>
        <v>223.321</v>
      </c>
      <c r="G40" s="3">
        <f t="shared" si="2"/>
        <v>2516.531</v>
      </c>
    </row>
    <row r="41" spans="1:7" ns3:dyDescent="0.25">
      <c r="A41" t="s">
        <v>644</v>
      </c>
      <c r="B41">
        <v>553.0</v>
      </c>
      <c r="C41" s="2">
        <v>0.1</v>
      </c>
      <c r="D41">
        <v>60</v>
      </c>
      <c r="E41">
        <f t="shared" si="0"/>
        <v>2892.19</v>
      </c>
      <c r="F41">
        <f t="shared" si="1"/>
        <v>289.219</v>
      </c>
      <c r="G41" s="3">
        <f t="shared" si="2"/>
        <v>3241.409</v>
      </c>
    </row>
    <row r="42" spans="1:7" ns3:dyDescent="0.25">
      <c r="A42" t="s">
        <v>130</v>
      </c>
      <c r="B42">
        <v>741.0</v>
      </c>
      <c r="C42" s="2">
        <v>0.1</v>
      </c>
      <c r="D42">
        <v>60</v>
      </c>
      <c r="E42">
        <f t="shared" si="0"/>
        <v>3875.43</v>
      </c>
      <c r="F42">
        <f t="shared" si="1"/>
        <v>387.543</v>
      </c>
      <c r="G42" s="3">
        <f t="shared" si="2"/>
        <v>4322.973</v>
      </c>
    </row>
    <row r="43" spans="1:7" ns3:dyDescent="0.25">
      <c r="A43" t="s">
        <v>808</v>
      </c>
      <c r="B43">
        <v>879.0</v>
      </c>
      <c r="C43" s="2">
        <v>0.1</v>
      </c>
      <c r="D43">
        <v>60</v>
      </c>
      <c r="E43">
        <f t="shared" si="0"/>
        <v>4597.17</v>
      </c>
      <c r="F43">
        <f t="shared" si="1"/>
        <v>459.717</v>
      </c>
      <c r="G43" s="3">
        <f t="shared" si="2"/>
        <v>5116.887</v>
      </c>
    </row>
    <row r="44" spans="1:7" ns3:dyDescent="0.25">
      <c r="A44" t="s">
        <v>886</v>
      </c>
      <c r="B44">
        <v>373.0</v>
      </c>
      <c r="C44" s="2">
        <v>0.1</v>
      </c>
      <c r="D44">
        <v>60</v>
      </c>
      <c r="E44">
        <f t="shared" si="0"/>
        <v>1950.79</v>
      </c>
      <c r="F44">
        <f t="shared" si="1"/>
        <v>195.079</v>
      </c>
      <c r="G44" s="3">
        <f t="shared" si="2"/>
        <v>2205.869</v>
      </c>
    </row>
    <row r="45" spans="1:7" ns3:dyDescent="0.25">
      <c r="A45" t="s">
        <v>809</v>
      </c>
      <c r="B45">
        <v>643.0</v>
      </c>
      <c r="C45" s="2">
        <v>0.1</v>
      </c>
      <c r="D45">
        <v>60</v>
      </c>
      <c r="E45">
        <f t="shared" si="0"/>
        <v>3362.89</v>
      </c>
      <c r="F45">
        <f t="shared" si="1"/>
        <v>336.289</v>
      </c>
      <c r="G45" s="3">
        <f t="shared" si="2"/>
        <v>3759.179</v>
      </c>
    </row>
    <row r="46" spans="1:7" ns3:dyDescent="0.25">
      <c r="A46" t="s">
        <v>737</v>
      </c>
      <c r="B46">
        <v>247.0</v>
      </c>
      <c r="C46" s="2">
        <v>0.1</v>
      </c>
      <c r="D46">
        <v>60</v>
      </c>
      <c r="E46">
        <f t="shared" si="0"/>
        <v>1291.81</v>
      </c>
      <c r="F46">
        <f t="shared" si="1"/>
        <v>129.181</v>
      </c>
      <c r="G46" s="3">
        <f t="shared" si="2"/>
        <v>1480.991</v>
      </c>
    </row>
    <row r="47" spans="1:7" ns3:dyDescent="0.25">
      <c r="A47" t="s">
        <v>131</v>
      </c>
      <c r="B47">
        <v>849.0</v>
      </c>
      <c r="C47" s="2">
        <v>0.1</v>
      </c>
      <c r="D47">
        <v>60</v>
      </c>
      <c r="E47">
        <f t="shared" si="0"/>
        <v>4440.27</v>
      </c>
      <c r="F47">
        <f t="shared" si="1"/>
        <v>444.027</v>
      </c>
      <c r="G47" s="3">
        <f t="shared" si="2"/>
        <v>4944.297</v>
      </c>
    </row>
    <row r="48" spans="1:7" ns3:dyDescent="0.25">
      <c r="A48" t="s">
        <v>132</v>
      </c>
      <c r="B48">
        <v>733.0</v>
      </c>
      <c r="C48" s="2">
        <v>0.1</v>
      </c>
      <c r="D48">
        <v>60</v>
      </c>
      <c r="E48">
        <f t="shared" si="0"/>
        <v>3833.59</v>
      </c>
      <c r="F48">
        <f t="shared" si="1"/>
        <v>383.359</v>
      </c>
      <c r="G48" s="3">
        <f t="shared" si="2"/>
        <v>4276.949</v>
      </c>
    </row>
    <row r="49" spans="1:7" ns3:dyDescent="0.25">
      <c r="A49" t="s">
        <v>645</v>
      </c>
      <c r="B49">
        <v>377.0</v>
      </c>
      <c r="C49" s="2">
        <v>0.12</v>
      </c>
      <c r="D49">
        <v>100</v>
      </c>
      <c r="E49">
        <f t="shared" si="0"/>
        <v>1971.71</v>
      </c>
      <c r="F49">
        <f t="shared" si="1"/>
        <v>236.6052</v>
      </c>
      <c r="G49" s="3">
        <f t="shared" si="2"/>
        <v>2308.3152</v>
      </c>
    </row>
    <row r="50" spans="1:7" ns3:dyDescent="0.25">
      <c r="A50" t="s">
        <v>646</v>
      </c>
      <c r="B50">
        <v>287.0</v>
      </c>
      <c r="C50" s="2">
        <v>0.12</v>
      </c>
      <c r="D50">
        <v>100</v>
      </c>
      <c r="E50">
        <f t="shared" si="0"/>
        <v>1501.01</v>
      </c>
      <c r="F50">
        <f t="shared" si="1"/>
        <v>180.1212</v>
      </c>
      <c r="G50" s="3">
        <f t="shared" si="2"/>
        <v>1781.1312</v>
      </c>
    </row>
    <row r="51" spans="1:7" ns3:dyDescent="0.25">
      <c r="A51" t="s">
        <v>647</v>
      </c>
      <c r="B51">
        <v>747.0</v>
      </c>
      <c r="C51" s="2">
        <v>0.12</v>
      </c>
      <c r="D51">
        <v>100</v>
      </c>
      <c r="E51">
        <f t="shared" si="0"/>
        <v>3906.81</v>
      </c>
      <c r="F51">
        <f t="shared" si="1"/>
        <v>468.8172</v>
      </c>
      <c r="G51" s="3">
        <f t="shared" si="2"/>
        <v>4475.6272</v>
      </c>
    </row>
    <row r="52" spans="1:7" ns3:dyDescent="0.25">
      <c r="A52" t="s">
        <v>593</v>
      </c>
      <c r="B52">
        <v>297.0</v>
      </c>
      <c r="C52" s="2">
        <v>0.1</v>
      </c>
      <c r="D52">
        <v>100</v>
      </c>
      <c r="E52">
        <f t="shared" si="0"/>
        <v>1553.31</v>
      </c>
      <c r="F52">
        <f t="shared" si="1"/>
        <v>155.331</v>
      </c>
      <c r="G52" s="3">
        <f t="shared" si="2"/>
        <v>1808.641</v>
      </c>
    </row>
    <row r="53" spans="1:7" ns3:dyDescent="0.25">
      <c r="A53" t="s">
        <v>594</v>
      </c>
      <c r="B53">
        <v>365.0</v>
      </c>
      <c r="C53" s="2">
        <v>0.1</v>
      </c>
      <c r="D53">
        <v>100</v>
      </c>
      <c r="E53">
        <f t="shared" si="0"/>
        <v>1908.95</v>
      </c>
      <c r="F53">
        <f t="shared" si="1"/>
        <v>190.895</v>
      </c>
      <c r="G53" s="3">
        <f t="shared" si="2"/>
        <v>2199.845</v>
      </c>
    </row>
    <row r="54" spans="1:7" ns3:dyDescent="0.25">
      <c r="A54" t="s">
        <v>738</v>
      </c>
      <c r="B54">
        <v>481.0</v>
      </c>
      <c r="C54" s="2">
        <v>0.1</v>
      </c>
      <c r="D54">
        <v>100</v>
      </c>
      <c r="E54">
        <f t="shared" si="0"/>
        <v>2515.63</v>
      </c>
      <c r="F54">
        <f t="shared" si="1"/>
        <v>251.563</v>
      </c>
      <c r="G54" s="3">
        <f t="shared" si="2"/>
        <v>2867.193</v>
      </c>
    </row>
    <row r="55" spans="1:7" ns3:dyDescent="0.25">
      <c r="A55" t="s">
        <v>595</v>
      </c>
      <c r="B55">
        <v>423.0</v>
      </c>
      <c r="C55" s="2">
        <v>0.1</v>
      </c>
      <c r="D55">
        <v>100</v>
      </c>
      <c r="E55">
        <f t="shared" si="0"/>
        <v>2212.29</v>
      </c>
      <c r="F55">
        <f t="shared" si="1"/>
        <v>221.229</v>
      </c>
      <c r="G55" s="3">
        <f t="shared" si="2"/>
        <v>2533.519</v>
      </c>
    </row>
    <row r="56" spans="1:7" ns3:dyDescent="0.25">
      <c r="A56" t="s">
        <v>133</v>
      </c>
      <c r="B56">
        <v>823.0</v>
      </c>
      <c r="C56" s="2">
        <v>0.1</v>
      </c>
      <c r="D56">
        <v>100</v>
      </c>
      <c r="E56">
        <f t="shared" si="0"/>
        <v>4304.29</v>
      </c>
      <c r="F56">
        <f t="shared" si="1"/>
        <v>430.429</v>
      </c>
      <c r="G56" s="3">
        <f t="shared" si="2"/>
        <v>4834.719</v>
      </c>
    </row>
    <row r="57" spans="1:7" ns3:dyDescent="0.25">
      <c r="A57" t="s">
        <v>602</v>
      </c>
      <c r="B57">
        <v>487.0</v>
      </c>
      <c r="C57" s="2">
        <v>0.1</v>
      </c>
      <c r="D57">
        <v>100</v>
      </c>
      <c r="E57">
        <f t="shared" si="0"/>
        <v>2547.01</v>
      </c>
      <c r="F57">
        <f t="shared" si="1"/>
        <v>254.701</v>
      </c>
      <c r="G57" s="3">
        <f t="shared" si="2"/>
        <v>2901.711</v>
      </c>
    </row>
    <row r="58" spans="1:7" ns3:dyDescent="0.25">
      <c r="A58" t="s">
        <v>434</v>
      </c>
      <c r="B58">
        <v>545.0</v>
      </c>
      <c r="C58" s="2">
        <v>0.1</v>
      </c>
      <c r="D58">
        <v>100</v>
      </c>
      <c r="E58">
        <f t="shared" si="0"/>
        <v>2850.35</v>
      </c>
      <c r="F58">
        <f t="shared" si="1"/>
        <v>285.035</v>
      </c>
      <c r="G58" s="3">
        <f t="shared" si="2"/>
        <v>3235.385</v>
      </c>
    </row>
    <row r="59" spans="1:7" ns3:dyDescent="0.25">
      <c r="A59" t="s">
        <v>435</v>
      </c>
      <c r="B59">
        <v>671.0</v>
      </c>
      <c r="C59" s="2">
        <v>0.1</v>
      </c>
      <c r="D59">
        <v>100</v>
      </c>
      <c r="E59">
        <f t="shared" si="0"/>
        <v>3509.33</v>
      </c>
      <c r="F59">
        <f t="shared" si="1"/>
        <v>350.933</v>
      </c>
      <c r="G59" s="3">
        <f t="shared" si="2"/>
        <v>3960.263</v>
      </c>
    </row>
    <row r="60" spans="1:7" ns3:dyDescent="0.25">
      <c r="A60" t="s">
        <v>673</v>
      </c>
      <c r="B60">
        <v>703.0</v>
      </c>
      <c r="C60" s="2">
        <v>0.1</v>
      </c>
      <c r="D60">
        <v>100</v>
      </c>
      <c r="E60">
        <f t="shared" si="0"/>
        <v>3676.69</v>
      </c>
      <c r="F60">
        <f t="shared" si="1"/>
        <v>367.669</v>
      </c>
      <c r="G60" s="3">
        <f t="shared" si="2"/>
        <v>4144.359</v>
      </c>
    </row>
    <row r="61" spans="1:7" ns3:dyDescent="0.25">
      <c r="A61" t="s">
        <v>674</v>
      </c>
      <c r="B61">
        <v>695.0</v>
      </c>
      <c r="C61" s="2">
        <v>0.1</v>
      </c>
      <c r="D61">
        <v>100</v>
      </c>
      <c r="E61">
        <f t="shared" si="0"/>
        <v>3634.85</v>
      </c>
      <c r="F61">
        <f t="shared" si="1"/>
        <v>363.485</v>
      </c>
      <c r="G61" s="3">
        <f t="shared" si="2"/>
        <v>4098.335</v>
      </c>
    </row>
    <row r="62" spans="1:7" ns3:dyDescent="0.25">
      <c r="A62" t="s">
        <v>675</v>
      </c>
      <c r="B62">
        <v>675.0</v>
      </c>
      <c r="C62" s="2">
        <v>0.1</v>
      </c>
      <c r="D62">
        <v>100</v>
      </c>
      <c r="E62">
        <f t="shared" si="0"/>
        <v>3530.25</v>
      </c>
      <c r="F62">
        <f t="shared" si="1"/>
        <v>353.025</v>
      </c>
      <c r="G62" s="3">
        <f t="shared" si="2"/>
        <v>3983.275</v>
      </c>
    </row>
    <row r="63" spans="1:7" ns3:dyDescent="0.25">
      <c r="A63" t="s">
        <v>678</v>
      </c>
      <c r="B63">
        <v>617.0</v>
      </c>
      <c r="C63" s="2">
        <v>0.1</v>
      </c>
      <c r="D63">
        <v>100</v>
      </c>
      <c r="E63">
        <f t="shared" si="0"/>
        <v>3226.91</v>
      </c>
      <c r="F63">
        <f t="shared" si="1"/>
        <v>322.691</v>
      </c>
      <c r="G63" s="3">
        <f t="shared" si="2"/>
        <v>3649.601</v>
      </c>
    </row>
    <row r="64" spans="1:7" ns3:dyDescent="0.25">
      <c r="A64" t="s">
        <v>679</v>
      </c>
      <c r="B64">
        <v>733.0</v>
      </c>
      <c r="C64" s="2">
        <v>0.1</v>
      </c>
      <c r="D64">
        <v>100</v>
      </c>
      <c r="E64">
        <f t="shared" si="0"/>
        <v>3833.59</v>
      </c>
      <c r="F64">
        <f t="shared" si="1"/>
        <v>383.359</v>
      </c>
      <c r="G64" s="3">
        <f t="shared" si="2"/>
        <v>4316.949</v>
      </c>
    </row>
    <row r="65" spans="1:7" ns3:dyDescent="0.25">
      <c r="A65" t="s">
        <v>680</v>
      </c>
      <c r="B65">
        <v>801.0</v>
      </c>
      <c r="C65" s="2">
        <v>0.1</v>
      </c>
      <c r="D65">
        <v>100</v>
      </c>
      <c r="E65">
        <f t="shared" si="0"/>
        <v>4189.23</v>
      </c>
      <c r="F65">
        <f t="shared" si="1"/>
        <v>418.923</v>
      </c>
      <c r="G65" s="3">
        <f t="shared" si="2"/>
        <v>4708.153</v>
      </c>
    </row>
    <row r="66" spans="1:7" ns3:dyDescent="0.25">
      <c r="A66" t="s">
        <v>596</v>
      </c>
      <c r="B66">
        <v>255.0</v>
      </c>
      <c r="C66" s="2">
        <v>0.1</v>
      </c>
      <c r="D66">
        <v>100</v>
      </c>
      <c r="E66">
        <f t="shared" si="0"/>
        <v>1333.65</v>
      </c>
      <c r="F66">
        <f t="shared" si="1"/>
        <v>133.365</v>
      </c>
      <c r="G66" s="3">
        <f t="shared" si="2"/>
        <v>1567.015</v>
      </c>
    </row>
    <row r="67" spans="1:7" ns3:dyDescent="0.25">
      <c r="A67" t="s">
        <v>597</v>
      </c>
      <c r="B67">
        <v>101.0</v>
      </c>
      <c r="C67" s="2">
        <v>0.1</v>
      </c>
      <c r="D67">
        <v>100</v>
      </c>
      <c r="E67">
        <f t="shared" ref="E67:E130" si="3">5.23*B67</f>
        <v>528.23</v>
      </c>
      <c r="F67">
        <f t="shared" ref="F67:F130" si="4">E67*C67</f>
        <v>52.823</v>
      </c>
      <c r="G67" s="3">
        <f t="shared" ref="G67:G130" si="5">F67+E67+D67</f>
        <v>681.053</v>
      </c>
    </row>
    <row r="68" spans="1:7" ns3:dyDescent="0.25">
      <c r="A68" t="s">
        <v>598</v>
      </c>
      <c r="B68">
        <v>619.0</v>
      </c>
      <c r="C68" s="2">
        <v>0.1</v>
      </c>
      <c r="D68">
        <v>100</v>
      </c>
      <c r="E68">
        <f t="shared" si="3"/>
        <v>3237.37</v>
      </c>
      <c r="F68">
        <f t="shared" si="4"/>
        <v>323.737</v>
      </c>
      <c r="G68" s="3">
        <f t="shared" si="5"/>
        <v>3661.107</v>
      </c>
    </row>
    <row r="69" spans="1:7" ns3:dyDescent="0.25">
      <c r="A69" t="s">
        <v>599</v>
      </c>
      <c r="B69">
        <v>441.0</v>
      </c>
      <c r="C69" s="2">
        <v>0.1</v>
      </c>
      <c r="D69">
        <v>100</v>
      </c>
      <c r="E69">
        <f t="shared" si="3"/>
        <v>2306.43</v>
      </c>
      <c r="F69">
        <f t="shared" si="4"/>
        <v>230.643</v>
      </c>
      <c r="G69" s="3">
        <f t="shared" si="5"/>
        <v>2637.073</v>
      </c>
    </row>
    <row r="70" spans="1:7" ns3:dyDescent="0.25">
      <c r="A70" t="s">
        <v>436</v>
      </c>
      <c r="B70">
        <v>815.0</v>
      </c>
      <c r="C70" s="2">
        <v>0.1</v>
      </c>
      <c r="D70">
        <v>100</v>
      </c>
      <c r="E70">
        <f t="shared" si="3"/>
        <v>4262.45</v>
      </c>
      <c r="F70">
        <f t="shared" si="4"/>
        <v>426.245</v>
      </c>
      <c r="G70" s="3">
        <f t="shared" si="5"/>
        <v>4788.695</v>
      </c>
    </row>
    <row r="71" spans="1:7" ns3:dyDescent="0.25">
      <c r="A71" t="s">
        <v>437</v>
      </c>
      <c r="B71">
        <v>455.0</v>
      </c>
      <c r="C71" s="2">
        <v>0.1</v>
      </c>
      <c r="D71">
        <v>100</v>
      </c>
      <c r="E71">
        <f t="shared" si="3"/>
        <v>2379.65</v>
      </c>
      <c r="F71">
        <f t="shared" si="4"/>
        <v>237.965</v>
      </c>
      <c r="G71" s="3">
        <f t="shared" si="5"/>
        <v>2717.615</v>
      </c>
    </row>
    <row r="72" spans="1:7" ns3:dyDescent="0.25">
      <c r="A72" t="s">
        <v>438</v>
      </c>
      <c r="B72">
        <v>263.0</v>
      </c>
      <c r="C72" s="2">
        <v>0.1</v>
      </c>
      <c r="D72">
        <v>100</v>
      </c>
      <c r="E72">
        <f t="shared" si="3"/>
        <v>1375.49</v>
      </c>
      <c r="F72">
        <f t="shared" si="4"/>
        <v>137.549</v>
      </c>
      <c r="G72" s="3">
        <f t="shared" si="5"/>
        <v>1613.039</v>
      </c>
    </row>
    <row r="73" spans="1:7" ns3:dyDescent="0.25">
      <c r="A73" t="s">
        <v>439</v>
      </c>
      <c r="B73">
        <v>733.0</v>
      </c>
      <c r="C73" s="2">
        <v>0.1</v>
      </c>
      <c r="D73">
        <v>100</v>
      </c>
      <c r="E73">
        <f t="shared" si="3"/>
        <v>3833.59</v>
      </c>
      <c r="F73">
        <f t="shared" si="4"/>
        <v>383.359</v>
      </c>
      <c r="G73" s="3">
        <f t="shared" si="5"/>
        <v>4316.949</v>
      </c>
    </row>
    <row r="74" spans="1:7" ns3:dyDescent="0.25">
      <c r="A74" t="s">
        <v>440</v>
      </c>
      <c r="B74">
        <v>321.0</v>
      </c>
      <c r="C74" s="2">
        <v>0.1</v>
      </c>
      <c r="D74">
        <v>100</v>
      </c>
      <c r="E74">
        <f t="shared" si="3"/>
        <v>1678.83</v>
      </c>
      <c r="F74">
        <f t="shared" si="4"/>
        <v>167.883</v>
      </c>
      <c r="G74" s="3">
        <f t="shared" si="5"/>
        <v>1946.713</v>
      </c>
    </row>
    <row r="75" spans="1:7" ns3:dyDescent="0.25">
      <c r="A75" t="s">
        <v>744</v>
      </c>
      <c r="B75">
        <v>883.0</v>
      </c>
      <c r="C75" s="2">
        <v>0.1</v>
      </c>
      <c r="D75">
        <v>100</v>
      </c>
      <c r="E75">
        <f t="shared" si="3"/>
        <v>4618.09</v>
      </c>
      <c r="F75">
        <f t="shared" si="4"/>
        <v>461.809</v>
      </c>
      <c r="G75" s="3">
        <f t="shared" si="5"/>
        <v>5179.899</v>
      </c>
    </row>
    <row r="76" spans="1:7" ns3:dyDescent="0.25">
      <c r="A76" t="s">
        <v>441</v>
      </c>
      <c r="B76">
        <v>151.0</v>
      </c>
      <c r="C76" s="2">
        <v>0.1</v>
      </c>
      <c r="D76">
        <v>150</v>
      </c>
      <c r="E76">
        <f t="shared" si="3"/>
        <v>789.73</v>
      </c>
      <c r="F76">
        <f t="shared" si="4"/>
        <v>78.973</v>
      </c>
      <c r="G76" s="3">
        <f t="shared" si="5"/>
        <v>1018.703</v>
      </c>
    </row>
    <row r="77" spans="1:7" ns3:dyDescent="0.25">
      <c r="A77" t="s">
        <v>442</v>
      </c>
      <c r="B77">
        <v>259.0</v>
      </c>
      <c r="C77" s="2">
        <v>0.1</v>
      </c>
      <c r="D77">
        <v>150</v>
      </c>
      <c r="E77">
        <f t="shared" si="3"/>
        <v>1354.57</v>
      </c>
      <c r="F77">
        <f t="shared" si="4"/>
        <v>135.457</v>
      </c>
      <c r="G77" s="3">
        <f t="shared" si="5"/>
        <v>1640.027</v>
      </c>
    </row>
    <row r="78" spans="1:7" ns3:dyDescent="0.25">
      <c r="A78" t="s">
        <v>443</v>
      </c>
      <c r="B78">
        <v>219.0</v>
      </c>
      <c r="C78" s="2">
        <v>0.1</v>
      </c>
      <c r="D78">
        <v>150</v>
      </c>
      <c r="E78">
        <f t="shared" si="3"/>
        <v>1145.37</v>
      </c>
      <c r="F78">
        <f t="shared" si="4"/>
        <v>114.537</v>
      </c>
      <c r="G78" s="3">
        <f t="shared" si="5"/>
        <v>1409.907</v>
      </c>
    </row>
    <row r="79" spans="1:7" ns3:dyDescent="0.25">
      <c r="A79" t="s">
        <v>444</v>
      </c>
      <c r="B79">
        <v>249.0</v>
      </c>
      <c r="C79" s="2">
        <v>0.1</v>
      </c>
      <c r="D79">
        <v>150</v>
      </c>
      <c r="E79">
        <f t="shared" si="3"/>
        <v>1302.27</v>
      </c>
      <c r="F79">
        <f t="shared" si="4"/>
        <v>130.227</v>
      </c>
      <c r="G79" s="3">
        <f t="shared" si="5"/>
        <v>1582.497</v>
      </c>
    </row>
    <row r="80" spans="1:7" ns3:dyDescent="0.25">
      <c r="A80" t="s">
        <v>445</v>
      </c>
      <c r="B80">
        <v>191.0</v>
      </c>
      <c r="C80" s="2">
        <v>0.1</v>
      </c>
      <c r="D80">
        <v>150</v>
      </c>
      <c r="E80">
        <f t="shared" si="3"/>
        <v>998.93</v>
      </c>
      <c r="F80">
        <f t="shared" si="4"/>
        <v>99.893</v>
      </c>
      <c r="G80" s="3">
        <f t="shared" si="5"/>
        <v>1248.823</v>
      </c>
    </row>
    <row r="81" spans="1:7" ns3:dyDescent="0.25">
      <c r="A81" t="s">
        <v>681</v>
      </c>
      <c r="B81">
        <v>793.0</v>
      </c>
      <c r="C81" s="2">
        <v>0.1</v>
      </c>
      <c r="D81">
        <v>150</v>
      </c>
      <c r="E81">
        <f t="shared" si="3"/>
        <v>4147.39</v>
      </c>
      <c r="F81">
        <f t="shared" si="4"/>
        <v>414.739</v>
      </c>
      <c r="G81" s="3">
        <f t="shared" si="5"/>
        <v>4712.129</v>
      </c>
    </row>
    <row r="82" spans="1:7" ns3:dyDescent="0.25">
      <c r="A82" t="s">
        <v>446</v>
      </c>
      <c r="B82">
        <v>651.0</v>
      </c>
      <c r="C82" s="2">
        <v>0.1</v>
      </c>
      <c r="D82">
        <v>150</v>
      </c>
      <c r="E82">
        <f t="shared" si="3"/>
        <v>3404.73</v>
      </c>
      <c r="F82">
        <f t="shared" si="4"/>
        <v>340.473</v>
      </c>
      <c r="G82" s="3">
        <f t="shared" si="5"/>
        <v>3895.203</v>
      </c>
    </row>
    <row r="83" spans="1:7" ns3:dyDescent="0.25">
      <c r="A83" t="s">
        <v>447</v>
      </c>
      <c r="B83">
        <v>657.0</v>
      </c>
      <c r="C83" s="2">
        <v>0.1</v>
      </c>
      <c r="D83">
        <v>150</v>
      </c>
      <c r="E83">
        <f t="shared" si="3"/>
        <v>3436.11</v>
      </c>
      <c r="F83">
        <f t="shared" si="4"/>
        <v>343.611</v>
      </c>
      <c r="G83" s="3">
        <f t="shared" si="5"/>
        <v>3929.721</v>
      </c>
    </row>
    <row r="84" spans="1:7" ns3:dyDescent="0.25">
      <c r="A84" t="s">
        <v>717</v>
      </c>
      <c r="B84">
        <v>709.0</v>
      </c>
      <c r="C84" s="2">
        <v>0.1</v>
      </c>
      <c r="D84">
        <v>150</v>
      </c>
      <c r="E84">
        <f t="shared" si="3"/>
        <v>3708.07</v>
      </c>
      <c r="F84">
        <f t="shared" si="4"/>
        <v>370.807</v>
      </c>
      <c r="G84" s="3">
        <f t="shared" si="5"/>
        <v>4228.877</v>
      </c>
    </row>
    <row r="85" spans="1:7" ns3:dyDescent="0.25">
      <c r="A85" t="s">
        <v>718</v>
      </c>
      <c r="B85">
        <v>167.0</v>
      </c>
      <c r="C85" s="2">
        <v>0.1</v>
      </c>
      <c r="D85">
        <v>150</v>
      </c>
      <c r="E85">
        <f t="shared" si="3"/>
        <v>873.41</v>
      </c>
      <c r="F85">
        <f t="shared" si="4"/>
        <v>87.341</v>
      </c>
      <c r="G85" s="3">
        <f t="shared" si="5"/>
        <v>1110.751</v>
      </c>
    </row>
    <row r="86" spans="1:7" ns3:dyDescent="0.25">
      <c r="A86" t="s">
        <v>448</v>
      </c>
      <c r="B86">
        <v>825.0</v>
      </c>
      <c r="C86" s="2">
        <v>0.1</v>
      </c>
      <c r="D86">
        <v>150</v>
      </c>
      <c r="E86">
        <f t="shared" si="3"/>
        <v>4314.75</v>
      </c>
      <c r="F86">
        <f t="shared" si="4"/>
        <v>431.475</v>
      </c>
      <c r="G86" s="3">
        <f t="shared" si="5"/>
        <v>4896.225</v>
      </c>
    </row>
    <row r="87" spans="1:7" ns3:dyDescent="0.25">
      <c r="A87" t="s">
        <v>449</v>
      </c>
      <c r="B87">
        <v>765.0</v>
      </c>
      <c r="C87" s="2">
        <v>0.1</v>
      </c>
      <c r="D87">
        <v>150</v>
      </c>
      <c r="E87">
        <f t="shared" si="3"/>
        <v>4000.95</v>
      </c>
      <c r="F87">
        <f t="shared" si="4"/>
        <v>400.095</v>
      </c>
      <c r="G87" s="3">
        <f t="shared" si="5"/>
        <v>4551.045</v>
      </c>
    </row>
    <row r="88" spans="1:7" ns3:dyDescent="0.25">
      <c r="A88" t="s">
        <v>682</v>
      </c>
      <c r="B88">
        <v>949.0</v>
      </c>
      <c r="C88" s="2">
        <v>0.1</v>
      </c>
      <c r="D88">
        <v>150</v>
      </c>
      <c r="E88">
        <f t="shared" si="3"/>
        <v>4963.27</v>
      </c>
      <c r="F88">
        <f t="shared" si="4"/>
        <v>496.327</v>
      </c>
      <c r="G88" s="3">
        <f t="shared" si="5"/>
        <v>5609.597</v>
      </c>
    </row>
    <row r="89" spans="1:7" ns3:dyDescent="0.25">
      <c r="A89" t="s">
        <v>683</v>
      </c>
      <c r="B89">
        <v>133.0</v>
      </c>
      <c r="C89" s="2">
        <v>0.1</v>
      </c>
      <c r="D89">
        <v>150</v>
      </c>
      <c r="E89">
        <f t="shared" si="3"/>
        <v>695.59</v>
      </c>
      <c r="F89">
        <f t="shared" si="4"/>
        <v>69.559</v>
      </c>
      <c r="G89" s="3">
        <f t="shared" si="5"/>
        <v>915.149</v>
      </c>
    </row>
    <row r="90" spans="1:7" ns3:dyDescent="0.25">
      <c r="A90" t="s">
        <v>648</v>
      </c>
      <c r="B90">
        <v>67.0</v>
      </c>
      <c r="C90" s="2">
        <v>0.1</v>
      </c>
      <c r="D90">
        <v>150</v>
      </c>
      <c r="E90">
        <f t="shared" si="3"/>
        <v>350.41</v>
      </c>
      <c r="F90">
        <f t="shared" si="4"/>
        <v>35.041</v>
      </c>
      <c r="G90" s="3">
        <f t="shared" si="5"/>
        <v>535.451</v>
      </c>
    </row>
    <row r="91" spans="1:7" ns3:dyDescent="0.25">
      <c r="A91" t="s">
        <v>450</v>
      </c>
      <c r="B91">
        <v>823.0</v>
      </c>
      <c r="C91" s="2">
        <v>0.1</v>
      </c>
      <c r="D91">
        <v>150</v>
      </c>
      <c r="E91">
        <f t="shared" si="3"/>
        <v>4304.29</v>
      </c>
      <c r="F91">
        <f t="shared" si="4"/>
        <v>430.429</v>
      </c>
      <c r="G91" s="3">
        <f t="shared" si="5"/>
        <v>4884.719</v>
      </c>
    </row>
    <row r="92" spans="1:7" ns3:dyDescent="0.25">
      <c r="A92" t="s">
        <v>684</v>
      </c>
      <c r="B92">
        <v>107.0</v>
      </c>
      <c r="C92" s="2">
        <v>0.1</v>
      </c>
      <c r="D92">
        <v>150</v>
      </c>
      <c r="E92">
        <f t="shared" si="3"/>
        <v>559.61</v>
      </c>
      <c r="F92">
        <f t="shared" si="4"/>
        <v>55.961</v>
      </c>
      <c r="G92" s="3">
        <f t="shared" si="5"/>
        <v>765.571</v>
      </c>
    </row>
    <row r="93" spans="1:7" ns3:dyDescent="0.25">
      <c r="A93" t="s">
        <v>603</v>
      </c>
      <c r="B93">
        <v>571.0</v>
      </c>
      <c r="C93" s="2">
        <v>0.1</v>
      </c>
      <c r="D93">
        <v>150</v>
      </c>
      <c r="E93">
        <f t="shared" si="3"/>
        <v>2986.33</v>
      </c>
      <c r="F93">
        <f t="shared" si="4"/>
        <v>298.633</v>
      </c>
      <c r="G93" s="3">
        <f t="shared" si="5"/>
        <v>3434.963</v>
      </c>
    </row>
    <row r="94" spans="1:7" ns3:dyDescent="0.25">
      <c r="A94" t="s">
        <v>451</v>
      </c>
      <c r="B94">
        <v>707.0</v>
      </c>
      <c r="C94" s="2">
        <v>0.1</v>
      </c>
      <c r="D94">
        <v>150</v>
      </c>
      <c r="E94">
        <f t="shared" si="3"/>
        <v>3697.61</v>
      </c>
      <c r="F94">
        <f t="shared" si="4"/>
        <v>369.761</v>
      </c>
      <c r="G94" s="3">
        <f t="shared" si="5"/>
        <v>4217.371</v>
      </c>
    </row>
    <row r="95" spans="1:7" ns3:dyDescent="0.25">
      <c r="A95" t="s">
        <v>685</v>
      </c>
      <c r="B95">
        <v>891.0</v>
      </c>
      <c r="C95" s="2">
        <v>0.1</v>
      </c>
      <c r="D95">
        <v>150</v>
      </c>
      <c r="E95">
        <f t="shared" si="3"/>
        <v>4659.93</v>
      </c>
      <c r="F95">
        <f t="shared" si="4"/>
        <v>465.993</v>
      </c>
      <c r="G95" s="3">
        <f t="shared" si="5"/>
        <v>5275.923</v>
      </c>
    </row>
    <row r="96" spans="1:7" ns3:dyDescent="0.25">
      <c r="A96" t="s">
        <v>894</v>
      </c>
      <c r="B96">
        <v>639.0</v>
      </c>
      <c r="C96" s="2">
        <v>0.1</v>
      </c>
      <c r="D96">
        <v>150</v>
      </c>
      <c r="E96">
        <f t="shared" si="3"/>
        <v>3341.97</v>
      </c>
      <c r="F96">
        <f t="shared" si="4"/>
        <v>334.197</v>
      </c>
      <c r="G96" s="3">
        <f t="shared" si="5"/>
        <v>3826.167</v>
      </c>
    </row>
    <row r="97" spans="1:7" ns3:dyDescent="0.25">
      <c r="A97" t="s">
        <v>649</v>
      </c>
      <c r="B97">
        <v>193.0</v>
      </c>
      <c r="C97" s="2">
        <v>0.1</v>
      </c>
      <c r="D97">
        <v>150</v>
      </c>
      <c r="E97">
        <f t="shared" si="3"/>
        <v>1009.39</v>
      </c>
      <c r="F97">
        <f t="shared" si="4"/>
        <v>100.939</v>
      </c>
      <c r="G97" s="3">
        <f t="shared" si="5"/>
        <v>1260.329</v>
      </c>
    </row>
    <row r="98" spans="1:7" ns3:dyDescent="0.25">
      <c r="A98" t="s">
        <v>837</v>
      </c>
      <c r="B98">
        <v>249.0</v>
      </c>
      <c r="C98" s="2">
        <v>0.1</v>
      </c>
      <c r="D98">
        <v>150</v>
      </c>
      <c r="E98">
        <f t="shared" si="3"/>
        <v>1302.27</v>
      </c>
      <c r="F98">
        <f t="shared" si="4"/>
        <v>130.227</v>
      </c>
      <c r="G98" s="3">
        <f t="shared" si="5"/>
        <v>1582.497</v>
      </c>
    </row>
    <row r="99" spans="1:7" ns3:dyDescent="0.25">
      <c r="A99" t="s">
        <v>719</v>
      </c>
      <c r="B99">
        <v>697.0</v>
      </c>
      <c r="C99" s="2">
        <v>0.1</v>
      </c>
      <c r="D99">
        <v>150</v>
      </c>
      <c r="E99">
        <f t="shared" si="3"/>
        <v>3645.31</v>
      </c>
      <c r="F99">
        <f t="shared" si="4"/>
        <v>364.531</v>
      </c>
      <c r="G99" s="3">
        <f t="shared" si="5"/>
        <v>4159.841</v>
      </c>
    </row>
    <row r="100" spans="1:7" ns3:dyDescent="0.25">
      <c r="A100" t="s">
        <v>452</v>
      </c>
      <c r="B100">
        <v>311.0</v>
      </c>
      <c r="C100" s="2">
        <v>0.1</v>
      </c>
      <c r="D100">
        <v>150</v>
      </c>
      <c r="E100">
        <f t="shared" si="3"/>
        <v>1626.53</v>
      </c>
      <c r="F100">
        <f t="shared" si="4"/>
        <v>162.653</v>
      </c>
      <c r="G100" s="3">
        <f t="shared" si="5"/>
        <v>1939.183</v>
      </c>
    </row>
    <row r="101" spans="1:7" ns3:dyDescent="0.25">
      <c r="A101" t="s">
        <v>895</v>
      </c>
      <c r="B101">
        <v>885.0</v>
      </c>
      <c r="C101" s="2">
        <v>0.1</v>
      </c>
      <c r="D101">
        <v>150</v>
      </c>
      <c r="E101">
        <f t="shared" si="3"/>
        <v>4628.55</v>
      </c>
      <c r="F101">
        <f t="shared" si="4"/>
        <v>462.855</v>
      </c>
      <c r="G101" s="3">
        <f t="shared" si="5"/>
        <v>5241.405</v>
      </c>
    </row>
    <row r="102" spans="1:7" ns3:dyDescent="0.25">
      <c r="A102" t="s">
        <v>896</v>
      </c>
      <c r="B102">
        <v>755.0</v>
      </c>
      <c r="C102" s="2">
        <v>0.1</v>
      </c>
      <c r="D102">
        <v>150</v>
      </c>
      <c r="E102">
        <f t="shared" si="3"/>
        <v>3948.65</v>
      </c>
      <c r="F102">
        <f t="shared" si="4"/>
        <v>394.865</v>
      </c>
      <c r="G102" s="3">
        <f t="shared" si="5"/>
        <v>4493.515</v>
      </c>
    </row>
    <row r="103" spans="1:7" ns3:dyDescent="0.25">
      <c r="A103" t="s">
        <v>453</v>
      </c>
      <c r="B103">
        <v>369.0</v>
      </c>
      <c r="C103" s="2">
        <v>0.1</v>
      </c>
      <c r="D103">
        <v>150</v>
      </c>
      <c r="E103">
        <f t="shared" si="3"/>
        <v>1929.87</v>
      </c>
      <c r="F103">
        <f t="shared" si="4"/>
        <v>192.987</v>
      </c>
      <c r="G103" s="3">
        <f t="shared" si="5"/>
        <v>2272.857</v>
      </c>
    </row>
    <row r="104" spans="1:7" ns3:dyDescent="0.25">
      <c r="A104" t="s">
        <v>454</v>
      </c>
      <c r="B104">
        <v>185.0</v>
      </c>
      <c r="C104" s="2">
        <v>0.1</v>
      </c>
      <c r="D104">
        <v>150</v>
      </c>
      <c r="E104">
        <f t="shared" si="3"/>
        <v>967.55</v>
      </c>
      <c r="F104">
        <f t="shared" si="4"/>
        <v>96.755</v>
      </c>
      <c r="G104" s="3">
        <f t="shared" si="5"/>
        <v>1214.305</v>
      </c>
    </row>
    <row r="105" spans="1:7" ns3:dyDescent="0.25">
      <c r="A105" t="s">
        <v>720</v>
      </c>
      <c r="B105">
        <v>107.0</v>
      </c>
      <c r="C105" s="2">
        <v>0.1</v>
      </c>
      <c r="D105">
        <v>150</v>
      </c>
      <c r="E105">
        <f t="shared" si="3"/>
        <v>559.61</v>
      </c>
      <c r="F105">
        <f t="shared" si="4"/>
        <v>55.961</v>
      </c>
      <c r="G105" s="3">
        <f t="shared" si="5"/>
        <v>765.571</v>
      </c>
    </row>
    <row r="106" spans="1:7" ns3:dyDescent="0.25">
      <c r="A106" t="s">
        <v>455</v>
      </c>
      <c r="B106">
        <v>795.0</v>
      </c>
      <c r="C106" s="2">
        <v>0.1</v>
      </c>
      <c r="D106">
        <v>150</v>
      </c>
      <c r="E106">
        <f t="shared" si="3"/>
        <v>4157.85</v>
      </c>
      <c r="F106">
        <f t="shared" si="4"/>
        <v>415.785</v>
      </c>
      <c r="G106" s="3">
        <f t="shared" si="5"/>
        <v>4723.635</v>
      </c>
    </row>
    <row r="107" spans="1:7" ns3:dyDescent="0.25">
      <c r="A107" t="s">
        <v>604</v>
      </c>
      <c r="B107">
        <v>945.0</v>
      </c>
      <c r="C107" s="2">
        <v>0.1</v>
      </c>
      <c r="D107">
        <v>150</v>
      </c>
      <c r="E107">
        <f t="shared" si="3"/>
        <v>4942.35</v>
      </c>
      <c r="F107">
        <f t="shared" si="4"/>
        <v>494.235</v>
      </c>
      <c r="G107" s="3">
        <f t="shared" si="5"/>
        <v>5586.585</v>
      </c>
    </row>
    <row r="108" spans="1:7" ns3:dyDescent="0.25">
      <c r="A108" t="s">
        <v>686</v>
      </c>
      <c r="B108">
        <v>171.0</v>
      </c>
      <c r="C108" s="2">
        <v>0.1</v>
      </c>
      <c r="D108">
        <v>150</v>
      </c>
      <c r="E108">
        <f t="shared" si="3"/>
        <v>894.33</v>
      </c>
      <c r="F108">
        <f t="shared" si="4"/>
        <v>89.433</v>
      </c>
      <c r="G108" s="3">
        <f t="shared" si="5"/>
        <v>1133.763</v>
      </c>
    </row>
    <row r="109" spans="1:7" ns3:dyDescent="0.25">
      <c r="A109" t="s">
        <v>456</v>
      </c>
      <c r="B109">
        <v>103.0</v>
      </c>
      <c r="C109" s="2">
        <v>0.1</v>
      </c>
      <c r="D109">
        <v>150</v>
      </c>
      <c r="E109">
        <f t="shared" si="3"/>
        <v>538.69</v>
      </c>
      <c r="F109">
        <f t="shared" si="4"/>
        <v>53.869</v>
      </c>
      <c r="G109" s="3">
        <f t="shared" si="5"/>
        <v>742.559</v>
      </c>
    </row>
    <row r="110" spans="1:7" ns3:dyDescent="0.25">
      <c r="A110" t="s">
        <v>457</v>
      </c>
      <c r="B110">
        <v>947.0</v>
      </c>
      <c r="C110" s="2">
        <v>0.1</v>
      </c>
      <c r="D110">
        <v>150</v>
      </c>
      <c r="E110">
        <f t="shared" si="3"/>
        <v>4952.81</v>
      </c>
      <c r="F110">
        <f t="shared" si="4"/>
        <v>495.281</v>
      </c>
      <c r="G110" s="3">
        <f t="shared" si="5"/>
        <v>5598.091</v>
      </c>
    </row>
    <row r="111" spans="1:7" ns3:dyDescent="0.25">
      <c r="A111" t="s">
        <v>897</v>
      </c>
      <c r="B111">
        <v>611.0</v>
      </c>
      <c r="C111" s="2">
        <v>0.1</v>
      </c>
      <c r="D111">
        <v>150</v>
      </c>
      <c r="E111">
        <f t="shared" si="3"/>
        <v>3195.53</v>
      </c>
      <c r="F111">
        <f t="shared" si="4"/>
        <v>319.553</v>
      </c>
      <c r="G111" s="3">
        <f t="shared" si="5"/>
        <v>3665.083</v>
      </c>
    </row>
    <row r="112" spans="1:7" ns3:dyDescent="0.25">
      <c r="A112" t="s">
        <v>898</v>
      </c>
      <c r="B112">
        <v>343.0</v>
      </c>
      <c r="C112" s="2">
        <v>0.1</v>
      </c>
      <c r="D112">
        <v>150</v>
      </c>
      <c r="E112">
        <f t="shared" si="3"/>
        <v>1793.89</v>
      </c>
      <c r="F112">
        <f t="shared" si="4"/>
        <v>179.389</v>
      </c>
      <c r="G112" s="3">
        <f t="shared" si="5"/>
        <v>2123.279</v>
      </c>
    </row>
    <row r="113" spans="1:7" ns3:dyDescent="0.25">
      <c r="A113" t="s">
        <v>458</v>
      </c>
      <c r="B113">
        <v>165.0</v>
      </c>
      <c r="C113" s="2">
        <v>0.1</v>
      </c>
      <c r="D113">
        <v>150</v>
      </c>
      <c r="E113">
        <f t="shared" si="3"/>
        <v>862.95</v>
      </c>
      <c r="F113">
        <f t="shared" si="4"/>
        <v>86.295</v>
      </c>
      <c r="G113" s="3">
        <f t="shared" si="5"/>
        <v>1099.245</v>
      </c>
    </row>
    <row r="114" spans="1:7" ns3:dyDescent="0.25">
      <c r="A114" t="s">
        <v>459</v>
      </c>
      <c r="B114">
        <v>311.0</v>
      </c>
      <c r="C114" s="2">
        <v>0.1</v>
      </c>
      <c r="D114">
        <v>150</v>
      </c>
      <c r="E114">
        <f t="shared" si="3"/>
        <v>1626.53</v>
      </c>
      <c r="F114">
        <f t="shared" si="4"/>
        <v>162.653</v>
      </c>
      <c r="G114" s="3">
        <f t="shared" si="5"/>
        <v>1939.183</v>
      </c>
    </row>
    <row r="115" spans="1:7" ns3:dyDescent="0.25">
      <c r="A115" t="s">
        <v>460</v>
      </c>
      <c r="B115">
        <v>915.0</v>
      </c>
      <c r="C115" s="2">
        <v>0.1</v>
      </c>
      <c r="D115">
        <v>150</v>
      </c>
      <c r="E115">
        <f t="shared" si="3"/>
        <v>4785.45</v>
      </c>
      <c r="F115">
        <f t="shared" si="4"/>
        <v>478.545</v>
      </c>
      <c r="G115" s="3">
        <f t="shared" si="5"/>
        <v>5413.995</v>
      </c>
    </row>
    <row r="116" spans="1:7" ns3:dyDescent="0.25">
      <c r="A116" t="s">
        <v>461</v>
      </c>
      <c r="B116">
        <v>253.0</v>
      </c>
      <c r="C116" s="2">
        <v>0.1</v>
      </c>
      <c r="D116">
        <v>150</v>
      </c>
      <c r="E116">
        <f t="shared" si="3"/>
        <v>1323.19</v>
      </c>
      <c r="F116">
        <f t="shared" si="4"/>
        <v>132.319</v>
      </c>
      <c r="G116" s="3">
        <f t="shared" si="5"/>
        <v>1605.509</v>
      </c>
    </row>
    <row r="117" spans="1:7" ns3:dyDescent="0.25">
      <c r="A117" t="s">
        <v>462</v>
      </c>
      <c r="B117">
        <v>291.0</v>
      </c>
      <c r="C117" s="2">
        <v>0.1</v>
      </c>
      <c r="D117">
        <v>150</v>
      </c>
      <c r="E117">
        <f t="shared" si="3"/>
        <v>1521.93</v>
      </c>
      <c r="F117">
        <f t="shared" si="4"/>
        <v>152.193</v>
      </c>
      <c r="G117" s="3">
        <f t="shared" si="5"/>
        <v>1824.123</v>
      </c>
    </row>
    <row r="118" spans="1:7" ns3:dyDescent="0.25">
      <c r="A118" t="s">
        <v>687</v>
      </c>
      <c r="B118">
        <v>795.0</v>
      </c>
      <c r="C118" s="2">
        <v>0.1</v>
      </c>
      <c r="D118">
        <v>150</v>
      </c>
      <c r="E118">
        <f t="shared" si="3"/>
        <v>4157.85</v>
      </c>
      <c r="F118">
        <f t="shared" si="4"/>
        <v>415.785</v>
      </c>
      <c r="G118" s="3">
        <f t="shared" si="5"/>
        <v>4723.635</v>
      </c>
    </row>
    <row r="119" spans="1:7" ns3:dyDescent="0.25">
      <c r="A119" t="s">
        <v>721</v>
      </c>
      <c r="B119">
        <v>275.0</v>
      </c>
      <c r="C119" s="2">
        <v>0.1</v>
      </c>
      <c r="D119">
        <v>150</v>
      </c>
      <c r="E119">
        <f t="shared" si="3"/>
        <v>1438.25</v>
      </c>
      <c r="F119">
        <f t="shared" si="4"/>
        <v>143.825</v>
      </c>
      <c r="G119" s="3">
        <f t="shared" si="5"/>
        <v>1732.075</v>
      </c>
    </row>
    <row r="120" spans="1:7" ns3:dyDescent="0.25">
      <c r="A120" t="s">
        <v>810</v>
      </c>
      <c r="B120">
        <v>715.0</v>
      </c>
      <c r="C120" s="2">
        <v>0.1</v>
      </c>
      <c r="D120">
        <v>150</v>
      </c>
      <c r="E120">
        <f t="shared" si="3"/>
        <v>3739.45</v>
      </c>
      <c r="F120">
        <f t="shared" si="4"/>
        <v>373.945</v>
      </c>
      <c r="G120" s="3">
        <f t="shared" si="5"/>
        <v>4263.395</v>
      </c>
    </row>
    <row r="121" spans="1:7" ns3:dyDescent="0.25">
      <c r="A121" t="s">
        <v>811</v>
      </c>
      <c r="B121">
        <v>111.0</v>
      </c>
      <c r="C121" s="2">
        <v>0.1</v>
      </c>
      <c r="D121">
        <v>150</v>
      </c>
      <c r="E121">
        <f t="shared" si="3"/>
        <v>580.53</v>
      </c>
      <c r="F121">
        <f t="shared" si="4"/>
        <v>58.053</v>
      </c>
      <c r="G121" s="3">
        <f t="shared" si="5"/>
        <v>788.583</v>
      </c>
    </row>
    <row r="122" spans="1:7" ns3:dyDescent="0.25">
      <c r="A122" t="s">
        <v>887</v>
      </c>
      <c r="B122">
        <v>315.0</v>
      </c>
      <c r="C122" s="2">
        <v>0.1</v>
      </c>
      <c r="D122">
        <v>150</v>
      </c>
      <c r="E122">
        <f t="shared" si="3"/>
        <v>1647.45</v>
      </c>
      <c r="F122">
        <f t="shared" si="4"/>
        <v>164.745</v>
      </c>
      <c r="G122" s="3">
        <f t="shared" si="5"/>
        <v>1962.195</v>
      </c>
    </row>
    <row r="123" spans="1:7" ns3:dyDescent="0.25">
      <c r="A123" t="s">
        <v>138</v>
      </c>
      <c r="B123">
        <v>467.0</v>
      </c>
      <c r="C123" s="2">
        <v>0.1</v>
      </c>
      <c r="D123">
        <v>150</v>
      </c>
      <c r="E123">
        <f t="shared" si="3"/>
        <v>2442.41</v>
      </c>
      <c r="F123">
        <f t="shared" si="4"/>
        <v>244.241</v>
      </c>
      <c r="G123" s="3">
        <f t="shared" si="5"/>
        <v>2836.651</v>
      </c>
    </row>
    <row r="124" spans="1:7" ns3:dyDescent="0.25">
      <c r="A124" t="s">
        <v>888</v>
      </c>
      <c r="B124">
        <v>589.0</v>
      </c>
      <c r="C124" s="2">
        <v>0.1</v>
      </c>
      <c r="D124">
        <v>150</v>
      </c>
      <c r="E124">
        <f t="shared" si="3"/>
        <v>3080.47</v>
      </c>
      <c r="F124">
        <f t="shared" si="4"/>
        <v>308.047</v>
      </c>
      <c r="G124" s="3">
        <f t="shared" si="5"/>
        <v>3538.517</v>
      </c>
    </row>
    <row r="125" spans="1:7" ns3:dyDescent="0.25">
      <c r="A125" t="s">
        <v>889</v>
      </c>
      <c r="B125">
        <v>767.0</v>
      </c>
      <c r="C125" s="2">
        <v>0.1</v>
      </c>
      <c r="D125">
        <v>150</v>
      </c>
      <c r="E125">
        <f t="shared" si="3"/>
        <v>4011.41</v>
      </c>
      <c r="F125">
        <f t="shared" si="4"/>
        <v>401.141</v>
      </c>
      <c r="G125" s="3">
        <f t="shared" si="5"/>
        <v>4562.551</v>
      </c>
    </row>
    <row r="126" spans="1:7" ns3:dyDescent="0.25">
      <c r="A126" t="s">
        <v>890</v>
      </c>
      <c r="B126">
        <v>773.0</v>
      </c>
      <c r="C126" s="2">
        <v>0.1</v>
      </c>
      <c r="D126">
        <v>150</v>
      </c>
      <c r="E126">
        <f t="shared" si="3"/>
        <v>4042.79</v>
      </c>
      <c r="F126">
        <f t="shared" si="4"/>
        <v>404.279</v>
      </c>
      <c r="G126" s="3">
        <f t="shared" si="5"/>
        <v>4597.069</v>
      </c>
    </row>
    <row r="127" spans="1:7" ns3:dyDescent="0.25">
      <c r="A127" t="s">
        <v>891</v>
      </c>
      <c r="B127">
        <v>907.0</v>
      </c>
      <c r="C127" s="2">
        <v>0.1</v>
      </c>
      <c r="D127">
        <v>150</v>
      </c>
      <c r="E127">
        <f t="shared" si="3"/>
        <v>4743.61</v>
      </c>
      <c r="F127">
        <f t="shared" si="4"/>
        <v>474.361</v>
      </c>
      <c r="G127" s="3">
        <f t="shared" si="5"/>
        <v>5367.971</v>
      </c>
    </row>
    <row r="128" spans="1:7" ns3:dyDescent="0.25">
      <c r="A128" t="s">
        <v>812</v>
      </c>
      <c r="B128">
        <v>583.0</v>
      </c>
      <c r="C128" s="2">
        <v>0.1</v>
      </c>
      <c r="D128">
        <v>150</v>
      </c>
      <c r="E128">
        <f t="shared" si="3"/>
        <v>3049.09</v>
      </c>
      <c r="F128">
        <f t="shared" si="4"/>
        <v>304.909</v>
      </c>
      <c r="G128" s="3">
        <f t="shared" si="5"/>
        <v>3503.999</v>
      </c>
    </row>
    <row r="129" spans="1:7" ns3:dyDescent="0.25">
      <c r="A129" t="s">
        <v>139</v>
      </c>
      <c r="B129">
        <v>791.0</v>
      </c>
      <c r="C129" s="2">
        <v>0.1</v>
      </c>
      <c r="D129">
        <v>150</v>
      </c>
      <c r="E129">
        <f t="shared" si="3"/>
        <v>4136.93</v>
      </c>
      <c r="F129">
        <f t="shared" si="4"/>
        <v>413.693</v>
      </c>
      <c r="G129" s="3">
        <f t="shared" si="5"/>
        <v>4700.623</v>
      </c>
    </row>
    <row r="130" spans="1:7" ns3:dyDescent="0.25">
      <c r="A130" t="s">
        <v>813</v>
      </c>
      <c r="B130">
        <v>849.0</v>
      </c>
      <c r="C130" s="2">
        <v>0.1</v>
      </c>
      <c r="D130">
        <v>150</v>
      </c>
      <c r="E130">
        <f t="shared" si="3"/>
        <v>4440.27</v>
      </c>
      <c r="F130">
        <f t="shared" si="4"/>
        <v>444.027</v>
      </c>
      <c r="G130" s="3">
        <f t="shared" si="5"/>
        <v>5034.297</v>
      </c>
    </row>
    <row r="131" spans="1:7" ns3:dyDescent="0.25">
      <c r="A131" t="s">
        <v>892</v>
      </c>
      <c r="B131">
        <v>723.0</v>
      </c>
      <c r="C131" s="2">
        <v>0.1</v>
      </c>
      <c r="D131">
        <v>150</v>
      </c>
      <c r="E131">
        <f t="shared" ref="E131:E194" si="6">5.23*B131</f>
        <v>3781.29</v>
      </c>
      <c r="F131">
        <f t="shared" ref="F131:F194" si="7">E131*C131</f>
        <v>378.129</v>
      </c>
      <c r="G131" s="3">
        <f t="shared" ref="G131:G194" si="8">F131+E131+D131</f>
        <v>4309.419</v>
      </c>
    </row>
    <row r="132" spans="1:7" ns3:dyDescent="0.25">
      <c r="A132" t="s">
        <v>814</v>
      </c>
      <c r="B132">
        <v>103.0</v>
      </c>
      <c r="C132" s="2">
        <v>7.0000000000000007E-2</v>
      </c>
      <c r="D132">
        <v>60</v>
      </c>
      <c r="E132">
        <f t="shared" si="6"/>
        <v>538.69</v>
      </c>
      <c r="F132">
        <f t="shared" si="7"/>
        <v>37.7083</v>
      </c>
      <c r="G132" s="3">
        <f t="shared" si="8"/>
        <v>636.3983</v>
      </c>
    </row>
    <row r="133" spans="1:7" ns3:dyDescent="0.25">
      <c r="A133" t="s">
        <v>815</v>
      </c>
      <c r="B133">
        <v>609.0</v>
      </c>
      <c r="C133" s="2">
        <v>7.0000000000000007E-2</v>
      </c>
      <c r="D133">
        <v>60</v>
      </c>
      <c r="E133">
        <f t="shared" si="6"/>
        <v>3185.07</v>
      </c>
      <c r="F133">
        <f t="shared" si="7"/>
        <v>222.9549</v>
      </c>
      <c r="G133" s="3">
        <f t="shared" si="8"/>
        <v>3468.0249</v>
      </c>
    </row>
    <row r="134" spans="1:7" ns3:dyDescent="0.25">
      <c r="A134" t="s">
        <v>816</v>
      </c>
      <c r="B134">
        <v>197.0</v>
      </c>
      <c r="C134" s="2">
        <v>7.0000000000000007E-2</v>
      </c>
      <c r="D134">
        <v>60</v>
      </c>
      <c r="E134">
        <f t="shared" si="6"/>
        <v>1030.31</v>
      </c>
      <c r="F134">
        <f t="shared" si="7"/>
        <v>72.1217</v>
      </c>
      <c r="G134" s="3">
        <f t="shared" si="8"/>
        <v>1162.4317</v>
      </c>
    </row>
    <row r="135" spans="1:7" ns3:dyDescent="0.25">
      <c r="A135" t="s">
        <v>817</v>
      </c>
      <c r="B135">
        <v>525.0</v>
      </c>
      <c r="C135" s="2">
        <v>7.0000000000000007E-2</v>
      </c>
      <c r="D135">
        <v>60</v>
      </c>
      <c r="E135">
        <f t="shared" si="6"/>
        <v>2745.75</v>
      </c>
      <c r="F135">
        <f t="shared" si="7"/>
        <v>192.2025</v>
      </c>
      <c r="G135" s="3">
        <f t="shared" si="8"/>
        <v>2997.9525</v>
      </c>
    </row>
    <row r="136" spans="1:7" ns3:dyDescent="0.25">
      <c r="A136" t="s">
        <v>140</v>
      </c>
      <c r="B136">
        <v>137.0</v>
      </c>
      <c r="C136" s="2">
        <v>7.0000000000000007E-2</v>
      </c>
      <c r="D136">
        <v>60</v>
      </c>
      <c r="E136">
        <f t="shared" si="6"/>
        <v>716.51</v>
      </c>
      <c r="F136">
        <f t="shared" si="7"/>
        <v>50.1557</v>
      </c>
      <c r="G136" s="3">
        <f t="shared" si="8"/>
        <v>826.6657</v>
      </c>
    </row>
    <row r="137" spans="1:7" ns3:dyDescent="0.25">
      <c r="A137" t="s">
        <v>141</v>
      </c>
      <c r="B137">
        <v>311.0</v>
      </c>
      <c r="C137" s="2">
        <v>7.0000000000000007E-2</v>
      </c>
      <c r="D137">
        <v>60</v>
      </c>
      <c r="E137">
        <f t="shared" si="6"/>
        <v>1626.53</v>
      </c>
      <c r="F137">
        <f t="shared" si="7"/>
        <v>113.8571</v>
      </c>
      <c r="G137" s="3">
        <f t="shared" si="8"/>
        <v>1800.3871</v>
      </c>
    </row>
    <row r="138" spans="1:7" ns3:dyDescent="0.25">
      <c r="A138" t="s">
        <v>142</v>
      </c>
      <c r="B138">
        <v>949.0</v>
      </c>
      <c r="C138" s="2">
        <v>7.0000000000000007E-2</v>
      </c>
      <c r="D138">
        <v>60</v>
      </c>
      <c r="E138">
        <f t="shared" si="6"/>
        <v>4963.27</v>
      </c>
      <c r="F138">
        <f t="shared" si="7"/>
        <v>347.4289</v>
      </c>
      <c r="G138" s="3">
        <f t="shared" si="8"/>
        <v>5370.6989</v>
      </c>
    </row>
    <row r="139" spans="1:7" ns3:dyDescent="0.25">
      <c r="A139" t="s">
        <v>143</v>
      </c>
      <c r="B139">
        <v>127.0</v>
      </c>
      <c r="C139" s="2">
        <v>7.0000000000000007E-2</v>
      </c>
      <c r="D139">
        <v>60</v>
      </c>
      <c r="E139">
        <f t="shared" si="6"/>
        <v>664.21</v>
      </c>
      <c r="F139">
        <f t="shared" si="7"/>
        <v>46.4947</v>
      </c>
      <c r="G139" s="3">
        <f t="shared" si="8"/>
        <v>770.7047</v>
      </c>
    </row>
    <row r="140" spans="1:7" ns3:dyDescent="0.25">
      <c r="A140" t="s">
        <v>144</v>
      </c>
      <c r="B140">
        <v>701.0</v>
      </c>
      <c r="C140" s="2">
        <v>7.0000000000000007E-2</v>
      </c>
      <c r="D140">
        <v>60</v>
      </c>
      <c r="E140">
        <f t="shared" si="6"/>
        <v>3666.23</v>
      </c>
      <c r="F140">
        <f t="shared" si="7"/>
        <v>256.6361</v>
      </c>
      <c r="G140" s="3">
        <f t="shared" si="8"/>
        <v>3982.8661</v>
      </c>
    </row>
    <row r="141" spans="1:7" ns3:dyDescent="0.25">
      <c r="A141" t="s">
        <v>600</v>
      </c>
      <c r="B141">
        <v>493.0</v>
      </c>
      <c r="C141" s="2">
        <v>7.0000000000000007E-2</v>
      </c>
      <c r="D141">
        <v>60</v>
      </c>
      <c r="E141">
        <f t="shared" si="6"/>
        <v>2578.39</v>
      </c>
      <c r="F141">
        <f t="shared" si="7"/>
        <v>180.4873</v>
      </c>
      <c r="G141" s="3">
        <f t="shared" si="8"/>
        <v>2818.8773</v>
      </c>
    </row>
    <row r="142" spans="1:7" ns3:dyDescent="0.25">
      <c r="A142" t="s">
        <v>145</v>
      </c>
      <c r="B142">
        <v>553.0</v>
      </c>
      <c r="C142" s="2">
        <v>7.0000000000000007E-2</v>
      </c>
      <c r="D142">
        <v>60</v>
      </c>
      <c r="E142">
        <f t="shared" si="6"/>
        <v>2892.19</v>
      </c>
      <c r="F142">
        <f t="shared" si="7"/>
        <v>202.4533</v>
      </c>
      <c r="G142" s="3">
        <f t="shared" si="8"/>
        <v>3154.6433</v>
      </c>
    </row>
    <row r="143" spans="1:7" ns3:dyDescent="0.25">
      <c r="A143" t="s">
        <v>146</v>
      </c>
      <c r="B143">
        <v>557.0</v>
      </c>
      <c r="C143" s="2">
        <v>7.0000000000000007E-2</v>
      </c>
      <c r="D143">
        <v>60</v>
      </c>
      <c r="E143">
        <f t="shared" si="6"/>
        <v>2913.11</v>
      </c>
      <c r="F143">
        <f t="shared" si="7"/>
        <v>203.9177</v>
      </c>
      <c r="G143" s="3">
        <f t="shared" si="8"/>
        <v>3177.0277</v>
      </c>
    </row>
    <row r="144" spans="1:7" ns3:dyDescent="0.25">
      <c r="A144" t="s">
        <v>147</v>
      </c>
      <c r="B144">
        <v>615.0</v>
      </c>
      <c r="C144" s="2">
        <v>7.0000000000000007E-2</v>
      </c>
      <c r="D144">
        <v>60</v>
      </c>
      <c r="E144">
        <f t="shared" si="6"/>
        <v>3216.45</v>
      </c>
      <c r="F144">
        <f t="shared" si="7"/>
        <v>225.1515</v>
      </c>
      <c r="G144" s="3">
        <f t="shared" si="8"/>
        <v>3501.6015</v>
      </c>
    </row>
    <row r="145" spans="1:7" ns3:dyDescent="0.25">
      <c r="A145" t="s">
        <v>148</v>
      </c>
      <c r="B145">
        <v>489.0</v>
      </c>
      <c r="C145" s="2">
        <v>7.0000000000000007E-2</v>
      </c>
      <c r="D145">
        <v>60</v>
      </c>
      <c r="E145">
        <f t="shared" si="6"/>
        <v>2557.47</v>
      </c>
      <c r="F145">
        <f t="shared" si="7"/>
        <v>179.0229</v>
      </c>
      <c r="G145" s="3">
        <f t="shared" si="8"/>
        <v>2796.4929</v>
      </c>
    </row>
    <row r="146" spans="1:7" ns3:dyDescent="0.25">
      <c r="A146" t="s">
        <v>149</v>
      </c>
      <c r="B146">
        <v>673.0</v>
      </c>
      <c r="C146" s="2">
        <v>7.0000000000000007E-2</v>
      </c>
      <c r="D146">
        <v>60</v>
      </c>
      <c r="E146">
        <f t="shared" si="6"/>
        <v>3519.79</v>
      </c>
      <c r="F146">
        <f t="shared" si="7"/>
        <v>246.3853</v>
      </c>
      <c r="G146" s="3">
        <f t="shared" si="8"/>
        <v>3826.1753</v>
      </c>
    </row>
    <row r="147" spans="1:7" ns3:dyDescent="0.25">
      <c r="A147" t="s">
        <v>739</v>
      </c>
      <c r="B147">
        <v>133.0</v>
      </c>
      <c r="C147" s="2">
        <v>7.0000000000000007E-2</v>
      </c>
      <c r="D147">
        <v>60</v>
      </c>
      <c r="E147">
        <f t="shared" si="6"/>
        <v>695.59</v>
      </c>
      <c r="F147">
        <f t="shared" si="7"/>
        <v>48.6913</v>
      </c>
      <c r="G147" s="3">
        <f t="shared" si="8"/>
        <v>804.2813</v>
      </c>
    </row>
    <row r="148" spans="1:7" ns3:dyDescent="0.25">
      <c r="A148" t="s">
        <v>740</v>
      </c>
      <c r="B148">
        <v>789.0</v>
      </c>
      <c r="C148" s="2">
        <v>7.0000000000000007E-2</v>
      </c>
      <c r="D148">
        <v>60</v>
      </c>
      <c r="E148">
        <f t="shared" si="6"/>
        <v>4126.47</v>
      </c>
      <c r="F148">
        <f t="shared" si="7"/>
        <v>288.8529</v>
      </c>
      <c r="G148" s="3">
        <f t="shared" si="8"/>
        <v>4475.3229</v>
      </c>
    </row>
    <row r="149" spans="1:7" ns3:dyDescent="0.25">
      <c r="A149" t="s">
        <v>741</v>
      </c>
      <c r="B149">
        <v>847.0</v>
      </c>
      <c r="C149" s="2">
        <v>7.0000000000000007E-2</v>
      </c>
      <c r="D149">
        <v>60</v>
      </c>
      <c r="E149">
        <f t="shared" si="6"/>
        <v>4429.81</v>
      </c>
      <c r="F149">
        <f t="shared" si="7"/>
        <v>310.0867</v>
      </c>
      <c r="G149" s="3">
        <f t="shared" si="8"/>
        <v>4799.8967</v>
      </c>
    </row>
    <row r="150" spans="1:7" ns3:dyDescent="0.25">
      <c r="A150" t="s">
        <v>150</v>
      </c>
      <c r="B150">
        <v>313.0</v>
      </c>
      <c r="C150" s="2">
        <v>7.0000000000000007E-2</v>
      </c>
      <c r="D150">
        <v>60</v>
      </c>
      <c r="E150">
        <f t="shared" si="6"/>
        <v>1636.99</v>
      </c>
      <c r="F150">
        <f t="shared" si="7"/>
        <v>114.5893</v>
      </c>
      <c r="G150" s="3">
        <f t="shared" si="8"/>
        <v>1811.5793</v>
      </c>
    </row>
    <row r="151" spans="1:7" ns3:dyDescent="0.25">
      <c r="A151" t="s">
        <v>151</v>
      </c>
      <c r="B151">
        <v>751.0</v>
      </c>
      <c r="C151" s="2">
        <v>7.0000000000000007E-2</v>
      </c>
      <c r="D151">
        <v>60</v>
      </c>
      <c r="E151">
        <f t="shared" si="6"/>
        <v>3927.73</v>
      </c>
      <c r="F151">
        <f t="shared" si="7"/>
        <v>274.9411</v>
      </c>
      <c r="G151" s="3">
        <f t="shared" si="8"/>
        <v>4262.6711</v>
      </c>
    </row>
    <row r="152" spans="1:7" ns3:dyDescent="0.25">
      <c r="A152" t="s">
        <v>152</v>
      </c>
      <c r="B152">
        <v>855.0</v>
      </c>
      <c r="C152" s="2">
        <v>7.0000000000000007E-2</v>
      </c>
      <c r="D152">
        <v>60</v>
      </c>
      <c r="E152">
        <f t="shared" si="6"/>
        <v>4471.65</v>
      </c>
      <c r="F152">
        <f t="shared" si="7"/>
        <v>313.0155</v>
      </c>
      <c r="G152" s="3">
        <f t="shared" si="8"/>
        <v>4844.6655</v>
      </c>
    </row>
    <row r="153" spans="1:7" ns3:dyDescent="0.25">
      <c r="A153" t="s">
        <v>742</v>
      </c>
      <c r="B153">
        <v>469.0</v>
      </c>
      <c r="C153" s="2">
        <v>7.0000000000000007E-2</v>
      </c>
      <c r="D153">
        <v>60</v>
      </c>
      <c r="E153">
        <f t="shared" si="6"/>
        <v>2452.87</v>
      </c>
      <c r="F153">
        <f t="shared" si="7"/>
        <v>171.7009</v>
      </c>
      <c r="G153" s="3">
        <f t="shared" si="8"/>
        <v>2684.5709</v>
      </c>
    </row>
    <row r="154" spans="1:7" ns3:dyDescent="0.25">
      <c r="A154" t="s">
        <v>153</v>
      </c>
      <c r="B154">
        <v>365.0</v>
      </c>
      <c r="C154" s="2">
        <v>7.0000000000000007E-2</v>
      </c>
      <c r="D154">
        <v>60</v>
      </c>
      <c r="E154">
        <f t="shared" si="6"/>
        <v>1908.95</v>
      </c>
      <c r="F154">
        <f t="shared" si="7"/>
        <v>133.6265</v>
      </c>
      <c r="G154" s="3">
        <f t="shared" si="8"/>
        <v>2102.5765</v>
      </c>
    </row>
    <row r="155" spans="1:7" ns3:dyDescent="0.25">
      <c r="A155" t="s">
        <v>818</v>
      </c>
      <c r="B155">
        <v>761.0</v>
      </c>
      <c r="C155" s="2">
        <v>7.0000000000000007E-2</v>
      </c>
      <c r="D155">
        <v>60</v>
      </c>
      <c r="E155">
        <f t="shared" si="6"/>
        <v>3980.03</v>
      </c>
      <c r="F155">
        <f t="shared" si="7"/>
        <v>278.6021</v>
      </c>
      <c r="G155" s="3">
        <f t="shared" si="8"/>
        <v>4318.6321</v>
      </c>
    </row>
    <row r="156" spans="1:7" ns3:dyDescent="0.25">
      <c r="A156" t="s">
        <v>154</v>
      </c>
      <c r="B156">
        <v>813.0</v>
      </c>
      <c r="C156" s="2">
        <v>7.0000000000000007E-2</v>
      </c>
      <c r="D156">
        <v>60</v>
      </c>
      <c r="E156">
        <f t="shared" si="6"/>
        <v>4251.99</v>
      </c>
      <c r="F156">
        <f t="shared" si="7"/>
        <v>297.6393</v>
      </c>
      <c r="G156" s="3">
        <f t="shared" si="8"/>
        <v>4609.6293</v>
      </c>
    </row>
    <row r="157" spans="1:7" ns3:dyDescent="0.25">
      <c r="A157" t="s">
        <v>155</v>
      </c>
      <c r="B157">
        <v>715.0</v>
      </c>
      <c r="C157" s="2">
        <v>7.0000000000000007E-2</v>
      </c>
      <c r="D157">
        <v>60</v>
      </c>
      <c r="E157">
        <f t="shared" si="6"/>
        <v>3739.45</v>
      </c>
      <c r="F157">
        <f t="shared" si="7"/>
        <v>261.7615</v>
      </c>
      <c r="G157" s="3">
        <f t="shared" si="8"/>
        <v>4061.2115</v>
      </c>
    </row>
    <row r="158" spans="1:7" ns3:dyDescent="0.25">
      <c r="A158" t="s">
        <v>819</v>
      </c>
      <c r="B158">
        <v>109.0</v>
      </c>
      <c r="C158" s="2">
        <v>7.0000000000000007E-2</v>
      </c>
      <c r="D158">
        <v>60</v>
      </c>
      <c r="E158">
        <f t="shared" si="6"/>
        <v>570.07</v>
      </c>
      <c r="F158">
        <f t="shared" si="7"/>
        <v>39.9049</v>
      </c>
      <c r="G158" s="3">
        <f t="shared" si="8"/>
        <v>669.9749</v>
      </c>
    </row>
    <row r="159" spans="1:7" ns3:dyDescent="0.25">
      <c r="A159" t="s">
        <v>820</v>
      </c>
      <c r="B159">
        <v>167.0</v>
      </c>
      <c r="C159" s="2">
        <v>7.0000000000000007E-2</v>
      </c>
      <c r="D159">
        <v>60</v>
      </c>
      <c r="E159">
        <f t="shared" si="6"/>
        <v>873.41</v>
      </c>
      <c r="F159">
        <f t="shared" si="7"/>
        <v>61.1387</v>
      </c>
      <c r="G159" s="3">
        <f t="shared" si="8"/>
        <v>994.5487</v>
      </c>
    </row>
    <row r="160" spans="1:7" ns3:dyDescent="0.25">
      <c r="A160" t="s">
        <v>821</v>
      </c>
      <c r="B160">
        <v>615.0</v>
      </c>
      <c r="C160" s="2">
        <v>7.0000000000000007E-2</v>
      </c>
      <c r="D160">
        <v>60</v>
      </c>
      <c r="E160">
        <f t="shared" si="6"/>
        <v>3216.45</v>
      </c>
      <c r="F160">
        <f t="shared" si="7"/>
        <v>225.1515</v>
      </c>
      <c r="G160" s="3">
        <f t="shared" si="8"/>
        <v>3501.6015</v>
      </c>
    </row>
    <row r="161" spans="1:7" ns3:dyDescent="0.25">
      <c r="A161" t="s">
        <v>822</v>
      </c>
      <c r="B161">
        <v>91.0</v>
      </c>
      <c r="C161" s="2">
        <v>7.0000000000000007E-2</v>
      </c>
      <c r="D161">
        <v>60</v>
      </c>
      <c r="E161">
        <f t="shared" si="6"/>
        <v>475.93</v>
      </c>
      <c r="F161">
        <f t="shared" si="7"/>
        <v>33.3151</v>
      </c>
      <c r="G161" s="3">
        <f t="shared" si="8"/>
        <v>569.2451</v>
      </c>
    </row>
    <row r="162" spans="1:7" ns3:dyDescent="0.25">
      <c r="A162" t="s">
        <v>893</v>
      </c>
      <c r="B162">
        <v>275.0</v>
      </c>
      <c r="C162" s="2">
        <v>7.0000000000000007E-2</v>
      </c>
      <c r="D162">
        <v>60</v>
      </c>
      <c r="E162">
        <f t="shared" si="6"/>
        <v>1438.25</v>
      </c>
      <c r="F162">
        <f t="shared" si="7"/>
        <v>100.6775</v>
      </c>
      <c r="G162" s="3">
        <f t="shared" si="8"/>
        <v>1598.9275</v>
      </c>
    </row>
    <row r="163" spans="1:7" ns3:dyDescent="0.25">
      <c r="A163" t="s">
        <v>676</v>
      </c>
      <c r="B163">
        <v>149.0</v>
      </c>
      <c r="C163" s="2">
        <v>7.0000000000000007E-2</v>
      </c>
      <c r="D163">
        <v>60</v>
      </c>
      <c r="E163">
        <f t="shared" si="6"/>
        <v>779.27</v>
      </c>
      <c r="F163">
        <f t="shared" si="7"/>
        <v>54.5489</v>
      </c>
      <c r="G163" s="3">
        <f t="shared" si="8"/>
        <v>893.8189</v>
      </c>
    </row>
    <row r="164" spans="1:7" ns3:dyDescent="0.25">
      <c r="A164" t="s">
        <v>677</v>
      </c>
      <c r="B164">
        <v>333.0</v>
      </c>
      <c r="C164" s="2">
        <v>7.0000000000000007E-2</v>
      </c>
      <c r="D164">
        <v>60</v>
      </c>
      <c r="E164">
        <f t="shared" si="6"/>
        <v>1741.59</v>
      </c>
      <c r="F164">
        <f t="shared" si="7"/>
        <v>121.9113</v>
      </c>
      <c r="G164" s="3">
        <f t="shared" si="8"/>
        <v>1923.5013</v>
      </c>
    </row>
    <row r="165" spans="1:7" ns3:dyDescent="0.25">
      <c r="A165" t="s">
        <v>823</v>
      </c>
      <c r="B165">
        <v>217.0</v>
      </c>
      <c r="C165" s="2">
        <v>7.0000000000000007E-2</v>
      </c>
      <c r="D165">
        <v>60</v>
      </c>
      <c r="E165">
        <f t="shared" si="6"/>
        <v>1134.91</v>
      </c>
      <c r="F165">
        <f t="shared" si="7"/>
        <v>79.4437</v>
      </c>
      <c r="G165" s="3">
        <f t="shared" si="8"/>
        <v>1274.3537</v>
      </c>
    </row>
    <row r="166" spans="1:7" ns3:dyDescent="0.25">
      <c r="A166" t="s">
        <v>824</v>
      </c>
      <c r="B166">
        <v>649.0</v>
      </c>
      <c r="C166" s="2">
        <v>7.0000000000000007E-2</v>
      </c>
      <c r="D166">
        <v>60</v>
      </c>
      <c r="E166">
        <f t="shared" si="6"/>
        <v>3394.27</v>
      </c>
      <c r="F166">
        <f t="shared" si="7"/>
        <v>237.5989</v>
      </c>
      <c r="G166" s="3">
        <f t="shared" si="8"/>
        <v>3691.8689</v>
      </c>
    </row>
    <row r="167" spans="1:7" ns3:dyDescent="0.25">
      <c r="A167" t="s">
        <v>825</v>
      </c>
      <c r="B167">
        <v>255.0</v>
      </c>
      <c r="C167" s="2">
        <v>7.0000000000000007E-2</v>
      </c>
      <c r="D167">
        <v>60</v>
      </c>
      <c r="E167">
        <f t="shared" si="6"/>
        <v>1333.65</v>
      </c>
      <c r="F167">
        <f t="shared" si="7"/>
        <v>93.3555</v>
      </c>
      <c r="G167" s="3">
        <f t="shared" si="8"/>
        <v>1487.0055</v>
      </c>
    </row>
    <row r="168" spans="1:7" ns3:dyDescent="0.25">
      <c r="A168" t="s">
        <v>826</v>
      </c>
      <c r="B168">
        <v>371.0</v>
      </c>
      <c r="C168" s="2">
        <v>7.0000000000000007E-2</v>
      </c>
      <c r="D168">
        <v>60</v>
      </c>
      <c r="E168">
        <f t="shared" si="6"/>
        <v>1940.33</v>
      </c>
      <c r="F168">
        <f t="shared" si="7"/>
        <v>135.8231</v>
      </c>
      <c r="G168" s="3">
        <f t="shared" si="8"/>
        <v>2136.1531</v>
      </c>
    </row>
    <row r="169" spans="1:7" ns3:dyDescent="0.25">
      <c r="A169" t="s">
        <v>827</v>
      </c>
      <c r="B169">
        <v>187.0</v>
      </c>
      <c r="C169" s="2">
        <v>7.0000000000000007E-2</v>
      </c>
      <c r="D169">
        <v>60</v>
      </c>
      <c r="E169">
        <f t="shared" si="6"/>
        <v>978.01</v>
      </c>
      <c r="F169">
        <f t="shared" si="7"/>
        <v>68.4607</v>
      </c>
      <c r="G169" s="3">
        <f t="shared" si="8"/>
        <v>1106.4707</v>
      </c>
    </row>
    <row r="170" spans="1:7" ns3:dyDescent="0.25">
      <c r="A170" t="s">
        <v>828</v>
      </c>
      <c r="B170">
        <v>313.0</v>
      </c>
      <c r="C170" s="2">
        <v>7.0000000000000007E-2</v>
      </c>
      <c r="D170">
        <v>60</v>
      </c>
      <c r="E170">
        <f t="shared" si="6"/>
        <v>1636.99</v>
      </c>
      <c r="F170">
        <f t="shared" si="7"/>
        <v>114.5893</v>
      </c>
      <c r="G170" s="3">
        <f t="shared" si="8"/>
        <v>1811.5793</v>
      </c>
    </row>
    <row r="171" spans="1:7" ns3:dyDescent="0.25">
      <c r="A171" t="s">
        <v>601</v>
      </c>
      <c r="B171">
        <v>663.0</v>
      </c>
      <c r="C171" s="2">
        <v>7.0000000000000007E-2</v>
      </c>
      <c r="D171">
        <v>60</v>
      </c>
      <c r="E171">
        <f t="shared" si="6"/>
        <v>3467.49</v>
      </c>
      <c r="F171">
        <f t="shared" si="7"/>
        <v>242.7243</v>
      </c>
      <c r="G171" s="3">
        <f t="shared" si="8"/>
        <v>3770.2143</v>
      </c>
    </row>
    <row r="172" spans="1:7" ns3:dyDescent="0.25">
      <c r="A172" t="s">
        <v>714</v>
      </c>
      <c r="B172">
        <v>271.0</v>
      </c>
      <c r="C172" s="2">
        <v>7.0000000000000007E-2</v>
      </c>
      <c r="D172">
        <v>60</v>
      </c>
      <c r="E172">
        <f t="shared" si="6"/>
        <v>1417.33</v>
      </c>
      <c r="F172">
        <f t="shared" si="7"/>
        <v>99.2131</v>
      </c>
      <c r="G172" s="3">
        <f t="shared" si="8"/>
        <v>1576.5431</v>
      </c>
    </row>
    <row r="173" spans="1:7" ns3:dyDescent="0.25">
      <c r="A173" t="s">
        <v>156</v>
      </c>
      <c r="B173">
        <v>859.0</v>
      </c>
      <c r="C173" s="2">
        <v>7.0000000000000007E-2</v>
      </c>
      <c r="D173">
        <v>60</v>
      </c>
      <c r="E173">
        <f t="shared" si="6"/>
        <v>4492.57</v>
      </c>
      <c r="F173">
        <f t="shared" si="7"/>
        <v>314.4799</v>
      </c>
      <c r="G173" s="3">
        <f t="shared" si="8"/>
        <v>4867.0499</v>
      </c>
    </row>
    <row r="174" spans="1:7" ns3:dyDescent="0.25">
      <c r="A174" t="s">
        <v>157</v>
      </c>
      <c r="B174">
        <v>801.0</v>
      </c>
      <c r="C174" s="2">
        <v>7.0000000000000007E-2</v>
      </c>
      <c r="D174">
        <v>60</v>
      </c>
      <c r="E174">
        <f t="shared" si="6"/>
        <v>4189.23</v>
      </c>
      <c r="F174">
        <f t="shared" si="7"/>
        <v>293.2461</v>
      </c>
      <c r="G174" s="3">
        <f t="shared" si="8"/>
        <v>4542.4761</v>
      </c>
    </row>
    <row r="175" spans="1:7" ns3:dyDescent="0.25">
      <c r="A175" t="s">
        <v>158</v>
      </c>
      <c r="B175">
        <v>757.0</v>
      </c>
      <c r="C175" s="2">
        <v>7.0000000000000007E-2</v>
      </c>
      <c r="D175">
        <v>60</v>
      </c>
      <c r="E175">
        <f t="shared" si="6"/>
        <v>3959.11</v>
      </c>
      <c r="F175">
        <f t="shared" si="7"/>
        <v>277.1377</v>
      </c>
      <c r="G175" s="3">
        <f t="shared" si="8"/>
        <v>4296.2477</v>
      </c>
    </row>
    <row r="176" spans="1:7" ns3:dyDescent="0.25">
      <c r="A176" t="s">
        <v>159</v>
      </c>
      <c r="B176">
        <v>129.0</v>
      </c>
      <c r="C176" s="2">
        <v>7.0000000000000007E-2</v>
      </c>
      <c r="D176">
        <v>60</v>
      </c>
      <c r="E176">
        <f t="shared" si="6"/>
        <v>674.67</v>
      </c>
      <c r="F176">
        <f t="shared" si="7"/>
        <v>47.2269</v>
      </c>
      <c r="G176" s="3">
        <f t="shared" si="8"/>
        <v>781.8969</v>
      </c>
    </row>
    <row r="177" spans="1:7" ns3:dyDescent="0.25">
      <c r="A177" t="s">
        <v>829</v>
      </c>
      <c r="B177">
        <v>217.0</v>
      </c>
      <c r="C177" s="2">
        <v>7.0000000000000007E-2</v>
      </c>
      <c r="D177">
        <v>60</v>
      </c>
      <c r="E177">
        <f t="shared" si="6"/>
        <v>1134.91</v>
      </c>
      <c r="F177">
        <f t="shared" si="7"/>
        <v>79.4437</v>
      </c>
      <c r="G177" s="3">
        <f t="shared" si="8"/>
        <v>1274.3537</v>
      </c>
    </row>
    <row r="178" spans="1:7" ns3:dyDescent="0.25">
      <c r="A178" t="s">
        <v>463</v>
      </c>
      <c r="B178">
        <v>521.0</v>
      </c>
      <c r="C178" s="2">
        <v>7.0000000000000007E-2</v>
      </c>
      <c r="D178">
        <v>60</v>
      </c>
      <c r="E178">
        <f t="shared" si="6"/>
        <v>2724.83</v>
      </c>
      <c r="F178">
        <f t="shared" si="7"/>
        <v>190.7381</v>
      </c>
      <c r="G178" s="3">
        <f t="shared" si="8"/>
        <v>2975.5681</v>
      </c>
    </row>
    <row r="179" spans="1:7" ns3:dyDescent="0.25">
      <c r="A179" t="s">
        <v>899</v>
      </c>
      <c r="B179">
        <v>489.0</v>
      </c>
      <c r="C179" s="2">
        <v>7.0000000000000007E-2</v>
      </c>
      <c r="D179">
        <v>60</v>
      </c>
      <c r="E179">
        <f t="shared" si="6"/>
        <v>2557.47</v>
      </c>
      <c r="F179">
        <f t="shared" si="7"/>
        <v>179.0229</v>
      </c>
      <c r="G179" s="3">
        <f t="shared" si="8"/>
        <v>2796.4929</v>
      </c>
    </row>
    <row r="180" spans="1:7" ns3:dyDescent="0.25">
      <c r="A180" t="s">
        <v>900</v>
      </c>
      <c r="B180">
        <v>557.0</v>
      </c>
      <c r="C180" s="2">
        <v>7.0000000000000007E-2</v>
      </c>
      <c r="D180">
        <v>60</v>
      </c>
      <c r="E180">
        <f t="shared" si="6"/>
        <v>2913.11</v>
      </c>
      <c r="F180">
        <f t="shared" si="7"/>
        <v>203.9177</v>
      </c>
      <c r="G180" s="3">
        <f t="shared" si="8"/>
        <v>3177.0277</v>
      </c>
    </row>
    <row r="181" spans="1:7" ns3:dyDescent="0.25">
      <c r="A181" t="s">
        <v>464</v>
      </c>
      <c r="B181">
        <v>277.0</v>
      </c>
      <c r="C181" s="2">
        <v>7.0000000000000007E-2</v>
      </c>
      <c r="D181">
        <v>60</v>
      </c>
      <c r="E181">
        <f t="shared" si="6"/>
        <v>1448.71</v>
      </c>
      <c r="F181">
        <f t="shared" si="7"/>
        <v>101.4097</v>
      </c>
      <c r="G181" s="3">
        <f t="shared" si="8"/>
        <v>1610.1197</v>
      </c>
    </row>
    <row r="182" spans="1:7" ns3:dyDescent="0.25">
      <c r="A182" t="s">
        <v>465</v>
      </c>
      <c r="B182">
        <v>403.0</v>
      </c>
      <c r="C182" s="2">
        <v>7.0000000000000007E-2</v>
      </c>
      <c r="D182">
        <v>60</v>
      </c>
      <c r="E182">
        <f t="shared" si="6"/>
        <v>2107.69</v>
      </c>
      <c r="F182">
        <f t="shared" si="7"/>
        <v>147.5383</v>
      </c>
      <c r="G182" s="3">
        <f t="shared" si="8"/>
        <v>2315.2283</v>
      </c>
    </row>
    <row r="183" spans="1:7" ns3:dyDescent="0.25">
      <c r="A183" t="s">
        <v>830</v>
      </c>
      <c r="B183">
        <v>129.0</v>
      </c>
      <c r="C183" s="2">
        <v>7.0000000000000007E-2</v>
      </c>
      <c r="D183">
        <v>60</v>
      </c>
      <c r="E183">
        <f t="shared" si="6"/>
        <v>674.67</v>
      </c>
      <c r="F183">
        <f t="shared" si="7"/>
        <v>47.2269</v>
      </c>
      <c r="G183" s="3">
        <f t="shared" si="8"/>
        <v>781.8969</v>
      </c>
    </row>
    <row r="184" spans="1:7" ns3:dyDescent="0.25">
      <c r="A184" t="s">
        <v>831</v>
      </c>
      <c r="B184">
        <v>187.0</v>
      </c>
      <c r="C184" s="2">
        <v>7.0000000000000007E-2</v>
      </c>
      <c r="D184">
        <v>60</v>
      </c>
      <c r="E184">
        <f t="shared" si="6"/>
        <v>978.01</v>
      </c>
      <c r="F184">
        <f t="shared" si="7"/>
        <v>68.4607</v>
      </c>
      <c r="G184" s="3">
        <f t="shared" si="8"/>
        <v>1106.4707</v>
      </c>
    </row>
    <row r="185" spans="1:7" ns3:dyDescent="0.25">
      <c r="A185" t="s">
        <v>160</v>
      </c>
      <c r="B185">
        <v>733.0</v>
      </c>
      <c r="C185" s="2">
        <v>7.0000000000000007E-2</v>
      </c>
      <c r="D185">
        <v>60</v>
      </c>
      <c r="E185">
        <f t="shared" si="6"/>
        <v>3833.59</v>
      </c>
      <c r="F185">
        <f t="shared" si="7"/>
        <v>268.3513</v>
      </c>
      <c r="G185" s="3">
        <f t="shared" si="8"/>
        <v>4161.9413</v>
      </c>
    </row>
    <row r="186" spans="1:7" ns3:dyDescent="0.25">
      <c r="A186" t="s">
        <v>161</v>
      </c>
      <c r="B186">
        <v>51.0</v>
      </c>
      <c r="C186" s="2">
        <v>7.0000000000000007E-2</v>
      </c>
      <c r="D186">
        <v>60</v>
      </c>
      <c r="E186">
        <f t="shared" si="6"/>
        <v>266.73</v>
      </c>
      <c r="F186">
        <f t="shared" si="7"/>
        <v>18.6711</v>
      </c>
      <c r="G186" s="3">
        <f t="shared" si="8"/>
        <v>345.4011</v>
      </c>
    </row>
    <row r="187" spans="1:7" ns3:dyDescent="0.25">
      <c r="A187" t="s">
        <v>743</v>
      </c>
      <c r="B187">
        <v>109.0</v>
      </c>
      <c r="C187" s="2">
        <v>7.0000000000000007E-2</v>
      </c>
      <c r="D187">
        <v>60</v>
      </c>
      <c r="E187">
        <f t="shared" si="6"/>
        <v>570.07</v>
      </c>
      <c r="F187">
        <f t="shared" si="7"/>
        <v>39.9049</v>
      </c>
      <c r="G187" s="3">
        <f t="shared" si="8"/>
        <v>669.9749</v>
      </c>
    </row>
    <row r="188" spans="1:7" ns3:dyDescent="0.25">
      <c r="A188" t="s">
        <v>715</v>
      </c>
      <c r="B188">
        <v>109.0</v>
      </c>
      <c r="C188" s="2">
        <v>7.0000000000000007E-2</v>
      </c>
      <c r="D188">
        <v>60</v>
      </c>
      <c r="E188">
        <f t="shared" si="6"/>
        <v>570.07</v>
      </c>
      <c r="F188">
        <f t="shared" si="7"/>
        <v>39.9049</v>
      </c>
      <c r="G188" s="3">
        <f t="shared" si="8"/>
        <v>669.9749</v>
      </c>
    </row>
    <row r="189" spans="1:7" ns3:dyDescent="0.25">
      <c r="A189" t="s">
        <v>716</v>
      </c>
      <c r="B189">
        <v>167.0</v>
      </c>
      <c r="C189" s="2">
        <v>7.0000000000000007E-2</v>
      </c>
      <c r="D189">
        <v>60</v>
      </c>
      <c r="E189">
        <f t="shared" si="6"/>
        <v>873.41</v>
      </c>
      <c r="F189">
        <f t="shared" si="7"/>
        <v>61.1387</v>
      </c>
      <c r="G189" s="3">
        <f t="shared" si="8"/>
        <v>994.5487</v>
      </c>
    </row>
    <row r="190" spans="1:7" ns3:dyDescent="0.25">
      <c r="A190" t="s">
        <v>162</v>
      </c>
      <c r="B190">
        <v>319.0</v>
      </c>
      <c r="C190" s="2">
        <v>7.0000000000000007E-2</v>
      </c>
      <c r="D190">
        <v>60</v>
      </c>
      <c r="E190">
        <f t="shared" si="6"/>
        <v>1668.37</v>
      </c>
      <c r="F190">
        <f t="shared" si="7"/>
        <v>116.7859</v>
      </c>
      <c r="G190" s="3">
        <f t="shared" si="8"/>
        <v>1845.1559</v>
      </c>
    </row>
    <row r="191" spans="1:7" ns3:dyDescent="0.25">
      <c r="A191" t="s">
        <v>163</v>
      </c>
      <c r="B191">
        <v>377.0</v>
      </c>
      <c r="C191" s="2">
        <v>7.0000000000000007E-2</v>
      </c>
      <c r="D191">
        <v>60</v>
      </c>
      <c r="E191">
        <f t="shared" si="6"/>
        <v>1971.71</v>
      </c>
      <c r="F191">
        <f t="shared" si="7"/>
        <v>138.0197</v>
      </c>
      <c r="G191" s="3">
        <f t="shared" si="8"/>
        <v>2169.7297</v>
      </c>
    </row>
    <row r="192" spans="1:7" ns3:dyDescent="0.25">
      <c r="A192" t="s">
        <v>164</v>
      </c>
      <c r="B192">
        <v>445.0</v>
      </c>
      <c r="C192" s="2">
        <v>7.0000000000000007E-2</v>
      </c>
      <c r="D192">
        <v>60</v>
      </c>
      <c r="E192">
        <f t="shared" si="6"/>
        <v>2327.35</v>
      </c>
      <c r="F192">
        <f t="shared" si="7"/>
        <v>162.9145</v>
      </c>
      <c r="G192" s="3">
        <f t="shared" si="8"/>
        <v>2550.2645</v>
      </c>
    </row>
    <row r="193" spans="1:7" ns3:dyDescent="0.25">
      <c r="A193" t="s">
        <v>165</v>
      </c>
      <c r="B193">
        <v>455.0</v>
      </c>
      <c r="C193" s="2">
        <v>7.0000000000000007E-2</v>
      </c>
      <c r="D193">
        <v>60</v>
      </c>
      <c r="E193">
        <f t="shared" si="6"/>
        <v>2379.65</v>
      </c>
      <c r="F193">
        <f t="shared" si="7"/>
        <v>166.5755</v>
      </c>
      <c r="G193" s="3">
        <f t="shared" si="8"/>
        <v>2606.2255</v>
      </c>
    </row>
    <row r="194" spans="1:7" ns3:dyDescent="0.25">
      <c r="A194" t="s">
        <v>166</v>
      </c>
      <c r="B194">
        <v>503.0</v>
      </c>
      <c r="C194" s="2">
        <v>7.0000000000000007E-2</v>
      </c>
      <c r="D194">
        <v>60</v>
      </c>
      <c r="E194">
        <f t="shared" si="6"/>
        <v>2630.69</v>
      </c>
      <c r="F194">
        <f t="shared" si="7"/>
        <v>184.1483</v>
      </c>
      <c r="G194" s="3">
        <f t="shared" si="8"/>
        <v>2874.8383</v>
      </c>
    </row>
    <row r="195" spans="1:7" ns3:dyDescent="0.25">
      <c r="A195" t="s">
        <v>605</v>
      </c>
      <c r="B195">
        <v>811.0</v>
      </c>
      <c r="C195" s="2">
        <v>7.0000000000000007E-2</v>
      </c>
      <c r="D195">
        <v>60</v>
      </c>
      <c r="E195">
        <f t="shared" ref="E195:E223" si="9">5.23*B195</f>
        <v>4241.53</v>
      </c>
      <c r="F195">
        <f t="shared" ref="F195:F223" si="10">E195*C195</f>
        <v>296.9071</v>
      </c>
      <c r="G195" s="3">
        <f t="shared" ref="G195:G223" si="11">F195+E195+D195</f>
        <v>4598.4371</v>
      </c>
    </row>
    <row r="196" spans="1:7" ns3:dyDescent="0.25">
      <c r="A196" t="s">
        <v>606</v>
      </c>
      <c r="B196">
        <v>67.0</v>
      </c>
      <c r="C196" s="2">
        <v>7.0000000000000007E-2</v>
      </c>
      <c r="D196">
        <v>60</v>
      </c>
      <c r="E196">
        <f t="shared" si="9"/>
        <v>350.41</v>
      </c>
      <c r="F196">
        <f t="shared" si="10"/>
        <v>24.5287</v>
      </c>
      <c r="G196" s="3">
        <f t="shared" si="11"/>
        <v>434.9387</v>
      </c>
    </row>
    <row r="197" spans="1:7" ns3:dyDescent="0.25">
      <c r="A197" t="s">
        <v>688</v>
      </c>
      <c r="B197">
        <v>277.0</v>
      </c>
      <c r="C197" s="2">
        <v>7.0000000000000007E-2</v>
      </c>
      <c r="D197">
        <v>60</v>
      </c>
      <c r="E197">
        <f t="shared" si="9"/>
        <v>1448.71</v>
      </c>
      <c r="F197">
        <f t="shared" si="10"/>
        <v>101.4097</v>
      </c>
      <c r="G197" s="3">
        <f t="shared" si="11"/>
        <v>1610.1197</v>
      </c>
    </row>
    <row r="198" spans="1:7" ns3:dyDescent="0.25">
      <c r="A198" t="s">
        <v>838</v>
      </c>
      <c r="B198">
        <v>161.0</v>
      </c>
      <c r="C198" s="2">
        <v>7.0000000000000007E-2</v>
      </c>
      <c r="D198">
        <v>60</v>
      </c>
      <c r="E198">
        <f t="shared" si="9"/>
        <v>842.03</v>
      </c>
      <c r="F198">
        <f t="shared" si="10"/>
        <v>58.9421</v>
      </c>
      <c r="G198" s="3">
        <f t="shared" si="11"/>
        <v>960.9721</v>
      </c>
    </row>
    <row r="199" spans="1:7" ns3:dyDescent="0.25">
      <c r="A199" t="s">
        <v>839</v>
      </c>
      <c r="B199">
        <v>885.0</v>
      </c>
      <c r="C199" s="2">
        <v>7.0000000000000007E-2</v>
      </c>
      <c r="D199">
        <v>60</v>
      </c>
      <c r="E199">
        <f t="shared" si="9"/>
        <v>4628.55</v>
      </c>
      <c r="F199">
        <f t="shared" si="10"/>
        <v>323.9985</v>
      </c>
      <c r="G199" s="3">
        <f t="shared" si="11"/>
        <v>5012.5485</v>
      </c>
    </row>
    <row r="200" spans="1:7" ns3:dyDescent="0.25">
      <c r="A200" t="s">
        <v>466</v>
      </c>
      <c r="B200">
        <v>309.0</v>
      </c>
      <c r="C200" s="2">
        <v>7.0000000000000007E-2</v>
      </c>
      <c r="D200">
        <v>60</v>
      </c>
      <c r="E200">
        <f t="shared" si="9"/>
        <v>1616.07</v>
      </c>
      <c r="F200">
        <f t="shared" si="10"/>
        <v>113.1249</v>
      </c>
      <c r="G200" s="3">
        <f t="shared" si="11"/>
        <v>1789.1949</v>
      </c>
    </row>
    <row r="201" spans="1:7" ns3:dyDescent="0.25">
      <c r="A201" t="s">
        <v>901</v>
      </c>
      <c r="B201">
        <v>283.0</v>
      </c>
      <c r="C201" s="2">
        <v>7.0000000000000007E-2</v>
      </c>
      <c r="D201">
        <v>60</v>
      </c>
      <c r="E201">
        <f t="shared" si="9"/>
        <v>1480.09</v>
      </c>
      <c r="F201">
        <f t="shared" si="10"/>
        <v>103.6063</v>
      </c>
      <c r="G201" s="3">
        <f t="shared" si="11"/>
        <v>1643.6963</v>
      </c>
    </row>
    <row r="202" spans="1:7" ns3:dyDescent="0.25">
      <c r="A202" t="s">
        <v>840</v>
      </c>
      <c r="B202">
        <v>611.0</v>
      </c>
      <c r="C202" s="2">
        <v>7.0000000000000007E-2</v>
      </c>
      <c r="D202">
        <v>60</v>
      </c>
      <c r="E202">
        <f t="shared" si="9"/>
        <v>3195.53</v>
      </c>
      <c r="F202">
        <f t="shared" si="10"/>
        <v>223.6871</v>
      </c>
      <c r="G202" s="3">
        <f t="shared" si="11"/>
        <v>3479.2171</v>
      </c>
    </row>
    <row r="203" spans="1:7" ns3:dyDescent="0.25">
      <c r="A203" t="s">
        <v>841</v>
      </c>
      <c r="B203">
        <v>219.0</v>
      </c>
      <c r="C203" s="2">
        <v>7.0000000000000007E-2</v>
      </c>
      <c r="D203">
        <v>60</v>
      </c>
      <c r="E203">
        <f t="shared" si="9"/>
        <v>1145.37</v>
      </c>
      <c r="F203">
        <f t="shared" si="10"/>
        <v>80.1759</v>
      </c>
      <c r="G203" s="3">
        <f t="shared" si="11"/>
        <v>1285.5459</v>
      </c>
    </row>
    <row r="204" spans="1:7" ns3:dyDescent="0.25">
      <c r="A204" t="s">
        <v>842</v>
      </c>
      <c r="B204">
        <v>549.0</v>
      </c>
      <c r="C204" s="2">
        <v>7.0000000000000007E-2</v>
      </c>
      <c r="D204">
        <v>60</v>
      </c>
      <c r="E204">
        <f t="shared" si="9"/>
        <v>2871.27</v>
      </c>
      <c r="F204">
        <f t="shared" si="10"/>
        <v>200.9889</v>
      </c>
      <c r="G204" s="3">
        <f t="shared" si="11"/>
        <v>3132.2589</v>
      </c>
    </row>
    <row r="205" spans="1:7" ns3:dyDescent="0.25">
      <c r="A205" t="s">
        <v>467</v>
      </c>
      <c r="B205">
        <v>853.0</v>
      </c>
      <c r="C205" s="2">
        <v>7.0000000000000007E-2</v>
      </c>
      <c r="D205">
        <v>60</v>
      </c>
      <c r="E205">
        <f t="shared" si="9"/>
        <v>4461.19</v>
      </c>
      <c r="F205">
        <f t="shared" si="10"/>
        <v>312.2833</v>
      </c>
      <c r="G205" s="3">
        <f t="shared" si="11"/>
        <v>4833.4733</v>
      </c>
    </row>
    <row r="206" spans="1:7" ns3:dyDescent="0.25">
      <c r="A206" t="s">
        <v>468</v>
      </c>
      <c r="B206">
        <v>911.0</v>
      </c>
      <c r="C206" s="2">
        <v>7.0000000000000007E-2</v>
      </c>
      <c r="D206">
        <v>60</v>
      </c>
      <c r="E206">
        <f t="shared" si="9"/>
        <v>4764.53</v>
      </c>
      <c r="F206">
        <f t="shared" si="10"/>
        <v>333.5171</v>
      </c>
      <c r="G206" s="3">
        <f t="shared" si="11"/>
        <v>5158.0471</v>
      </c>
    </row>
    <row r="207" spans="1:7" ns3:dyDescent="0.25">
      <c r="A207" t="s">
        <v>902</v>
      </c>
      <c r="B207">
        <v>701.0</v>
      </c>
      <c r="C207" s="2">
        <v>7.0000000000000007E-2</v>
      </c>
      <c r="D207">
        <v>60</v>
      </c>
      <c r="E207">
        <f t="shared" si="9"/>
        <v>3666.23</v>
      </c>
      <c r="F207">
        <f t="shared" si="10"/>
        <v>256.6361</v>
      </c>
      <c r="G207" s="3">
        <f t="shared" si="11"/>
        <v>3982.8661</v>
      </c>
    </row>
    <row r="208" spans="1:7" ns3:dyDescent="0.25">
      <c r="A208" t="s">
        <v>843</v>
      </c>
      <c r="B208">
        <v>321.0</v>
      </c>
      <c r="C208" s="2">
        <v>7.0000000000000007E-2</v>
      </c>
      <c r="D208">
        <v>60</v>
      </c>
      <c r="E208">
        <f t="shared" si="9"/>
        <v>1678.83</v>
      </c>
      <c r="F208">
        <f t="shared" si="10"/>
        <v>117.5181</v>
      </c>
      <c r="G208" s="3">
        <f t="shared" si="11"/>
        <v>1856.3481</v>
      </c>
    </row>
    <row r="209" spans="1:7" ns3:dyDescent="0.25">
      <c r="A209" t="s">
        <v>844</v>
      </c>
      <c r="B209">
        <v>195.0</v>
      </c>
      <c r="C209" s="2">
        <v>7.0000000000000007E-2</v>
      </c>
      <c r="D209">
        <v>60</v>
      </c>
      <c r="E209">
        <f t="shared" si="9"/>
        <v>1019.85</v>
      </c>
      <c r="F209">
        <f t="shared" si="10"/>
        <v>71.3895</v>
      </c>
      <c r="G209" s="3">
        <f t="shared" si="11"/>
        <v>1151.2395</v>
      </c>
    </row>
    <row r="210" spans="1:7" ns3:dyDescent="0.25">
      <c r="A210" t="s">
        <v>845</v>
      </c>
      <c r="B210">
        <v>107.0</v>
      </c>
      <c r="C210" s="2">
        <v>7.0000000000000007E-2</v>
      </c>
      <c r="D210">
        <v>60</v>
      </c>
      <c r="E210">
        <f t="shared" si="9"/>
        <v>559.61</v>
      </c>
      <c r="F210">
        <f t="shared" si="10"/>
        <v>39.1727</v>
      </c>
      <c r="G210" s="3">
        <f t="shared" si="11"/>
        <v>658.7827</v>
      </c>
    </row>
    <row r="211" spans="1:7" ns3:dyDescent="0.25">
      <c r="A211" t="s">
        <v>745</v>
      </c>
      <c r="B211">
        <v>913.0</v>
      </c>
      <c r="C211" s="2">
        <v>7.0000000000000007E-2</v>
      </c>
      <c r="D211">
        <v>60</v>
      </c>
      <c r="E211">
        <f t="shared" si="9"/>
        <v>4774.99</v>
      </c>
      <c r="F211">
        <f t="shared" si="10"/>
        <v>334.2493</v>
      </c>
      <c r="G211" s="3">
        <f t="shared" si="11"/>
        <v>5169.2393</v>
      </c>
    </row>
    <row r="212" spans="1:7" ns3:dyDescent="0.25">
      <c r="A212" t="s">
        <v>469</v>
      </c>
      <c r="B212">
        <v>823.0</v>
      </c>
      <c r="C212" s="2">
        <v>7.0000000000000007E-2</v>
      </c>
      <c r="D212">
        <v>60</v>
      </c>
      <c r="E212">
        <f t="shared" si="9"/>
        <v>4304.29</v>
      </c>
      <c r="F212">
        <f t="shared" si="10"/>
        <v>301.3003</v>
      </c>
      <c r="G212" s="3">
        <f t="shared" si="11"/>
        <v>4665.5903</v>
      </c>
    </row>
    <row r="213" spans="1:7" ns3:dyDescent="0.25">
      <c r="A213" t="s">
        <v>846</v>
      </c>
      <c r="B213">
        <v>447.0</v>
      </c>
      <c r="C213" s="2">
        <v>7.0000000000000007E-2</v>
      </c>
      <c r="D213">
        <v>60</v>
      </c>
      <c r="E213">
        <f t="shared" si="9"/>
        <v>2337.81</v>
      </c>
      <c r="F213">
        <f t="shared" si="10"/>
        <v>163.6467</v>
      </c>
      <c r="G213" s="3">
        <f t="shared" si="11"/>
        <v>2561.4567</v>
      </c>
    </row>
    <row r="214" spans="1:7" ns3:dyDescent="0.25">
      <c r="A214" t="s">
        <v>470</v>
      </c>
      <c r="B214">
        <v>379.0</v>
      </c>
      <c r="C214" s="2">
        <v>7.0000000000000007E-2</v>
      </c>
      <c r="D214">
        <v>60</v>
      </c>
      <c r="E214">
        <f t="shared" si="9"/>
        <v>1982.17</v>
      </c>
      <c r="F214">
        <f t="shared" si="10"/>
        <v>138.7519</v>
      </c>
      <c r="G214" s="3">
        <f t="shared" si="11"/>
        <v>2180.9219</v>
      </c>
    </row>
    <row r="215" spans="1:7" ns3:dyDescent="0.25">
      <c r="A215" t="s">
        <v>847</v>
      </c>
      <c r="B215">
        <v>437.0</v>
      </c>
      <c r="C215" s="2">
        <v>7.0000000000000007E-2</v>
      </c>
      <c r="D215">
        <v>60</v>
      </c>
      <c r="E215">
        <f t="shared" si="9"/>
        <v>2285.51</v>
      </c>
      <c r="F215">
        <f t="shared" si="10"/>
        <v>159.9857</v>
      </c>
      <c r="G215" s="3">
        <f t="shared" si="11"/>
        <v>2505.4957</v>
      </c>
    </row>
    <row r="216" spans="1:7" ns3:dyDescent="0.25">
      <c r="A216" t="s">
        <v>848</v>
      </c>
      <c r="B216">
        <v>949.0</v>
      </c>
      <c r="C216" s="2">
        <v>7.0000000000000007E-2</v>
      </c>
      <c r="D216">
        <v>60</v>
      </c>
      <c r="E216">
        <f t="shared" si="9"/>
        <v>4963.27</v>
      </c>
      <c r="F216">
        <f t="shared" si="10"/>
        <v>347.4289</v>
      </c>
      <c r="G216" s="3">
        <f t="shared" si="11"/>
        <v>5370.6989</v>
      </c>
    </row>
    <row r="217" spans="1:7" ns3:dyDescent="0.25">
      <c r="A217" t="s">
        <v>849</v>
      </c>
      <c r="B217">
        <v>677.0</v>
      </c>
      <c r="C217" s="2">
        <v>7.0000000000000007E-2</v>
      </c>
      <c r="D217">
        <v>60</v>
      </c>
      <c r="E217">
        <f t="shared" si="9"/>
        <v>3540.71</v>
      </c>
      <c r="F217">
        <f t="shared" si="10"/>
        <v>247.8497</v>
      </c>
      <c r="G217" s="3">
        <f t="shared" si="11"/>
        <v>3848.5597</v>
      </c>
    </row>
    <row r="218" spans="1:7" ns3:dyDescent="0.25">
      <c r="A218" t="s">
        <v>832</v>
      </c>
      <c r="B218">
        <v>729.0</v>
      </c>
      <c r="C218" s="2">
        <v>7.0000000000000007E-2</v>
      </c>
      <c r="D218">
        <v>60</v>
      </c>
      <c r="E218">
        <f t="shared" si="9"/>
        <v>3812.67</v>
      </c>
      <c r="F218">
        <f t="shared" si="10"/>
        <v>266.8869</v>
      </c>
      <c r="G218" s="3">
        <f t="shared" si="11"/>
        <v>4139.5569</v>
      </c>
    </row>
    <row r="219" spans="1:7" ns3:dyDescent="0.25">
      <c r="A219" t="s">
        <v>833</v>
      </c>
      <c r="B219">
        <v>513.0</v>
      </c>
      <c r="C219" s="2">
        <v>7.0000000000000007E-2</v>
      </c>
      <c r="D219">
        <v>60</v>
      </c>
      <c r="E219">
        <f t="shared" si="9"/>
        <v>2682.99</v>
      </c>
      <c r="F219">
        <f t="shared" si="10"/>
        <v>187.8093</v>
      </c>
      <c r="G219" s="3">
        <f t="shared" si="11"/>
        <v>2930.7993</v>
      </c>
    </row>
    <row r="220" spans="1:7" ns3:dyDescent="0.25">
      <c r="A220" t="s">
        <v>834</v>
      </c>
      <c r="B220">
        <v>621.0</v>
      </c>
      <c r="C220" s="2">
        <v>7.0000000000000007E-2</v>
      </c>
      <c r="D220">
        <v>60</v>
      </c>
      <c r="E220">
        <f t="shared" si="9"/>
        <v>3247.83</v>
      </c>
      <c r="F220">
        <f t="shared" si="10"/>
        <v>227.3481</v>
      </c>
      <c r="G220" s="3">
        <f t="shared" si="11"/>
        <v>3535.1781</v>
      </c>
    </row>
    <row r="221" spans="1:7" ns3:dyDescent="0.25">
      <c r="A221" t="s">
        <v>835</v>
      </c>
      <c r="B221">
        <v>571.0</v>
      </c>
      <c r="C221" s="2">
        <v>7.0000000000000007E-2</v>
      </c>
      <c r="D221">
        <v>60</v>
      </c>
      <c r="E221">
        <f t="shared" si="9"/>
        <v>2986.33</v>
      </c>
      <c r="F221">
        <f t="shared" si="10"/>
        <v>209.0431</v>
      </c>
      <c r="G221" s="3">
        <f t="shared" si="11"/>
        <v>3255.3731</v>
      </c>
    </row>
    <row r="222" spans="1:7" ns3:dyDescent="0.25">
      <c r="A222" t="s">
        <v>836</v>
      </c>
      <c r="B222">
        <v>639.0</v>
      </c>
      <c r="C222" s="2">
        <v>7.0000000000000007E-2</v>
      </c>
      <c r="D222">
        <v>60</v>
      </c>
      <c r="E222">
        <f t="shared" si="9"/>
        <v>3341.97</v>
      </c>
      <c r="F222">
        <f t="shared" si="10"/>
        <v>233.9379</v>
      </c>
      <c r="G222" s="3">
        <f t="shared" si="11"/>
        <v>3635.9079</v>
      </c>
    </row>
    <row r="223" spans="1:7" ns3:dyDescent="0.25">
      <c r="A223" t="s">
        <v>167</v>
      </c>
      <c r="B223">
        <v>463.0</v>
      </c>
      <c r="C223" s="2">
        <v>7.0000000000000007E-2</v>
      </c>
      <c r="D223">
        <v>60</v>
      </c>
      <c r="E223">
        <f t="shared" si="9"/>
        <v>2421.49</v>
      </c>
      <c r="F223">
        <f t="shared" si="10"/>
        <v>169.5043</v>
      </c>
      <c r="G223" s="3">
        <f t="shared" si="11"/>
        <v>2650.9943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58ACCAE4-E282-4643-8E3B-E73AE6741ABF}">
  <dimension ref="A1:G419"/>
  <sheetViews>
    <sheetView zoomScale="98" zoomScaleNormal="98" workbookViewId="0">
      <selection activeCell="T16" sqref="T16"/>
    </sheetView>
  </sheetViews>
  <sheetFormatPr defaultRowHeight="15" ns3:dyDescent="0.25"/>
  <cols>
    <col min="1" max="1" width="65.140625" customWidth="1"/>
    <col min="2" max="6" width="0" hidden="1" customWidth="1"/>
    <col min="7" max="7" width="12.140625" style="3" bestFit="1" customWidth="1"/>
  </cols>
  <sheetData>
    <row r="1" spans="1:7" ns3:dyDescent="0.25">
      <c r="A1" t="s">
        <v>74</v>
      </c>
    </row>
    <row r="2" spans="1:7" ns3:dyDescent="0.25">
      <c r="A2" t="s">
        <v>874</v>
      </c>
      <c r="B2">
        <v>695.0</v>
      </c>
      <c r="C2" s="2">
        <v>0.12</v>
      </c>
      <c r="D2">
        <v>80</v>
      </c>
      <c r="E2">
        <f>5.23*B2</f>
        <v>3634.85</v>
      </c>
      <c r="F2">
        <f>E2*C2</f>
        <v>436.182</v>
      </c>
      <c r="G2" s="3">
        <f>F2+E2+D2</f>
        <v>4151.032</v>
      </c>
    </row>
    <row r="3" spans="1:7" ns3:dyDescent="0.25">
      <c r="A3" t="s">
        <v>875</v>
      </c>
      <c r="B3">
        <v>153.0</v>
      </c>
      <c r="C3" s="2">
        <v>0.12</v>
      </c>
      <c r="D3">
        <v>80</v>
      </c>
      <c r="E3">
        <f t="shared" ref="E3:E66" si="0">5.23*B3</f>
        <v>800.19</v>
      </c>
      <c r="F3">
        <f t="shared" ref="F3:F66" si="1">E3*C3</f>
        <v>96.0228</v>
      </c>
      <c r="G3" s="3">
        <f t="shared" ref="G3:G66" si="2">F3+E3+D3</f>
        <v>976.2128</v>
      </c>
    </row>
    <row r="4" spans="1:7" ns3:dyDescent="0.25">
      <c r="A4" t="s">
        <v>168</v>
      </c>
      <c r="B4">
        <v>763.0</v>
      </c>
      <c r="C4" s="2">
        <v>0.12</v>
      </c>
      <c r="D4">
        <v>80</v>
      </c>
      <c r="E4">
        <f t="shared" si="0"/>
        <v>3990.49</v>
      </c>
      <c r="F4">
        <f t="shared" si="1"/>
        <v>478.8588</v>
      </c>
      <c r="G4" s="3">
        <f t="shared" si="2"/>
        <v>4549.3488</v>
      </c>
    </row>
    <row r="5" spans="1:7" ns3:dyDescent="0.25">
      <c r="A5" t="s">
        <v>656</v>
      </c>
      <c r="B5">
        <v>493.0</v>
      </c>
      <c r="C5" s="2">
        <v>0.12</v>
      </c>
      <c r="D5">
        <v>80</v>
      </c>
      <c r="E5">
        <f t="shared" si="0"/>
        <v>2578.39</v>
      </c>
      <c r="F5">
        <f t="shared" si="1"/>
        <v>309.4068</v>
      </c>
      <c r="G5" s="3">
        <f t="shared" si="2"/>
        <v>2967.7968</v>
      </c>
    </row>
    <row r="6" spans="1:7" ns3:dyDescent="0.25">
      <c r="A6" t="s">
        <v>697</v>
      </c>
      <c r="B6">
        <v>107.0</v>
      </c>
      <c r="C6" s="2">
        <v>0.12</v>
      </c>
      <c r="D6">
        <v>80</v>
      </c>
      <c r="E6">
        <f t="shared" si="0"/>
        <v>559.61</v>
      </c>
      <c r="F6">
        <f t="shared" si="1"/>
        <v>67.1532</v>
      </c>
      <c r="G6" s="3">
        <f t="shared" si="2"/>
        <v>706.7632</v>
      </c>
    </row>
    <row r="7" spans="1:7" ns3:dyDescent="0.25">
      <c r="A7" t="s">
        <v>657</v>
      </c>
      <c r="B7">
        <v>417.0</v>
      </c>
      <c r="C7" s="2">
        <v>0.12</v>
      </c>
      <c r="D7">
        <v>80</v>
      </c>
      <c r="E7">
        <f t="shared" si="0"/>
        <v>2180.91</v>
      </c>
      <c r="F7">
        <f t="shared" si="1"/>
        <v>261.7092</v>
      </c>
      <c r="G7" s="3">
        <f t="shared" si="2"/>
        <v>2522.6192</v>
      </c>
    </row>
    <row r="8" spans="1:7" ns3:dyDescent="0.25">
      <c r="A8" t="s">
        <v>169</v>
      </c>
      <c r="B8">
        <v>549.0</v>
      </c>
      <c r="C8" s="2">
        <v>0.12</v>
      </c>
      <c r="D8">
        <v>80</v>
      </c>
      <c r="E8">
        <f t="shared" si="0"/>
        <v>2871.27</v>
      </c>
      <c r="F8">
        <f t="shared" si="1"/>
        <v>344.5524</v>
      </c>
      <c r="G8" s="3">
        <f t="shared" si="2"/>
        <v>3295.8224</v>
      </c>
    </row>
    <row r="9" spans="1:7" ns3:dyDescent="0.25">
      <c r="A9" t="s">
        <v>170</v>
      </c>
      <c r="B9">
        <v>617.0</v>
      </c>
      <c r="C9" s="2">
        <v>0.12</v>
      </c>
      <c r="D9">
        <v>80</v>
      </c>
      <c r="E9">
        <f t="shared" si="0"/>
        <v>3226.91</v>
      </c>
      <c r="F9">
        <f t="shared" si="1"/>
        <v>387.2292</v>
      </c>
      <c r="G9" s="3">
        <f t="shared" si="2"/>
        <v>3694.1392</v>
      </c>
    </row>
    <row r="10" spans="1:7" ns3:dyDescent="0.25">
      <c r="A10" t="s">
        <v>171</v>
      </c>
      <c r="B10">
        <v>425.0</v>
      </c>
      <c r="C10" s="2">
        <v>0.12</v>
      </c>
      <c r="D10">
        <v>80</v>
      </c>
      <c r="E10">
        <f t="shared" si="0"/>
        <v>2222.75</v>
      </c>
      <c r="F10">
        <f t="shared" si="1"/>
        <v>266.73</v>
      </c>
      <c r="G10" s="3">
        <f t="shared" si="2"/>
        <v>2569.48</v>
      </c>
    </row>
    <row r="11" spans="1:7" ns3:dyDescent="0.25">
      <c r="A11" t="s">
        <v>172</v>
      </c>
      <c r="B11">
        <v>611.0</v>
      </c>
      <c r="C11" s="2">
        <v>0.12</v>
      </c>
      <c r="D11">
        <v>80</v>
      </c>
      <c r="E11">
        <f t="shared" si="0"/>
        <v>3195.53</v>
      </c>
      <c r="F11">
        <f t="shared" si="1"/>
        <v>383.4636</v>
      </c>
      <c r="G11" s="3">
        <f t="shared" si="2"/>
        <v>3658.9936</v>
      </c>
    </row>
    <row r="12" spans="1:7" ns3:dyDescent="0.25">
      <c r="A12" t="s">
        <v>484</v>
      </c>
      <c r="B12">
        <v>943.0</v>
      </c>
      <c r="C12" s="2">
        <v>0.12</v>
      </c>
      <c r="D12">
        <v>80</v>
      </c>
      <c r="E12">
        <f t="shared" si="0"/>
        <v>4931.89</v>
      </c>
      <c r="F12">
        <f t="shared" si="1"/>
        <v>591.8268</v>
      </c>
      <c r="G12" s="3">
        <f t="shared" si="2"/>
        <v>5603.7168</v>
      </c>
    </row>
    <row r="13" spans="1:7" ns3:dyDescent="0.25">
      <c r="A13" t="s">
        <v>876</v>
      </c>
      <c r="B13">
        <v>159.0</v>
      </c>
      <c r="C13" s="2">
        <v>0.12</v>
      </c>
      <c r="D13">
        <v>80</v>
      </c>
      <c r="E13">
        <f t="shared" si="0"/>
        <v>831.57</v>
      </c>
      <c r="F13">
        <f t="shared" si="1"/>
        <v>99.7884</v>
      </c>
      <c r="G13" s="3">
        <f t="shared" si="2"/>
        <v>1011.3584</v>
      </c>
    </row>
    <row r="14" spans="1:7" ns3:dyDescent="0.25">
      <c r="A14" t="s">
        <v>173</v>
      </c>
      <c r="B14">
        <v>101.0</v>
      </c>
      <c r="C14" s="2">
        <v>0.12</v>
      </c>
      <c r="D14">
        <v>80</v>
      </c>
      <c r="E14">
        <f t="shared" si="0"/>
        <v>528.23</v>
      </c>
      <c r="F14">
        <f t="shared" si="1"/>
        <v>63.3876</v>
      </c>
      <c r="G14" s="3">
        <f t="shared" si="2"/>
        <v>671.6176</v>
      </c>
    </row>
    <row r="15" spans="1:7" ns3:dyDescent="0.25">
      <c r="A15" t="s">
        <v>485</v>
      </c>
      <c r="B15">
        <v>801.0</v>
      </c>
      <c r="C15" s="2">
        <v>0.12</v>
      </c>
      <c r="D15">
        <v>80</v>
      </c>
      <c r="E15">
        <f t="shared" si="0"/>
        <v>4189.23</v>
      </c>
      <c r="F15">
        <f t="shared" si="1"/>
        <v>502.7076</v>
      </c>
      <c r="G15" s="3">
        <f t="shared" si="2"/>
        <v>4771.9376</v>
      </c>
    </row>
    <row r="16" spans="1:7" ns3:dyDescent="0.25">
      <c r="A16" t="s">
        <v>486</v>
      </c>
      <c r="B16">
        <v>859.0</v>
      </c>
      <c r="C16" s="2">
        <v>0.12</v>
      </c>
      <c r="D16">
        <v>80</v>
      </c>
      <c r="E16">
        <f t="shared" si="0"/>
        <v>4492.57</v>
      </c>
      <c r="F16">
        <f t="shared" si="1"/>
        <v>539.1084</v>
      </c>
      <c r="G16" s="3">
        <f t="shared" si="2"/>
        <v>5111.6784</v>
      </c>
    </row>
    <row r="17" spans="1:7" ns3:dyDescent="0.25">
      <c r="A17" t="s">
        <v>487</v>
      </c>
      <c r="B17">
        <v>917.0</v>
      </c>
      <c r="C17" s="2">
        <v>0.12</v>
      </c>
      <c r="D17">
        <v>80</v>
      </c>
      <c r="E17">
        <f t="shared" si="0"/>
        <v>4795.91</v>
      </c>
      <c r="F17">
        <f t="shared" si="1"/>
        <v>575.5092</v>
      </c>
      <c r="G17" s="3">
        <f t="shared" si="2"/>
        <v>5451.4192</v>
      </c>
    </row>
    <row r="18" spans="1:7" ns3:dyDescent="0.25">
      <c r="A18" t="s">
        <v>488</v>
      </c>
      <c r="B18">
        <v>467.0</v>
      </c>
      <c r="C18" s="2">
        <v>0.12</v>
      </c>
      <c r="D18">
        <v>80</v>
      </c>
      <c r="E18">
        <f t="shared" si="0"/>
        <v>2442.41</v>
      </c>
      <c r="F18">
        <f t="shared" si="1"/>
        <v>293.0892</v>
      </c>
      <c r="G18" s="3">
        <f t="shared" si="2"/>
        <v>2815.4992</v>
      </c>
    </row>
    <row r="19" spans="1:7" ns3:dyDescent="0.25">
      <c r="A19" t="s">
        <v>489</v>
      </c>
      <c r="B19">
        <v>583.0</v>
      </c>
      <c r="C19" s="2">
        <v>0.12</v>
      </c>
      <c r="D19">
        <v>80</v>
      </c>
      <c r="E19">
        <f t="shared" si="0"/>
        <v>3049.09</v>
      </c>
      <c r="F19">
        <f t="shared" si="1"/>
        <v>365.8908</v>
      </c>
      <c r="G19" s="3">
        <f t="shared" si="2"/>
        <v>3494.9808</v>
      </c>
    </row>
    <row r="20" spans="1:7" ns3:dyDescent="0.25">
      <c r="A20" t="s">
        <v>877</v>
      </c>
      <c r="B20">
        <v>397.0</v>
      </c>
      <c r="C20" s="2">
        <v>0.12</v>
      </c>
      <c r="D20">
        <v>80</v>
      </c>
      <c r="E20">
        <f t="shared" si="0"/>
        <v>2076.31</v>
      </c>
      <c r="F20">
        <f t="shared" si="1"/>
        <v>249.1572</v>
      </c>
      <c r="G20" s="3">
        <f t="shared" si="2"/>
        <v>2405.4672</v>
      </c>
    </row>
    <row r="21" spans="1:7" ns3:dyDescent="0.25">
      <c r="A21" t="s">
        <v>174</v>
      </c>
      <c r="B21">
        <v>827.0</v>
      </c>
      <c r="C21" s="2">
        <v>0.12</v>
      </c>
      <c r="D21">
        <v>80</v>
      </c>
      <c r="E21">
        <f t="shared" si="0"/>
        <v>4325.21</v>
      </c>
      <c r="F21">
        <f t="shared" si="1"/>
        <v>519.0252</v>
      </c>
      <c r="G21" s="3">
        <f t="shared" si="2"/>
        <v>4924.2352</v>
      </c>
    </row>
    <row r="22" spans="1:7" ns3:dyDescent="0.25">
      <c r="A22" t="s">
        <v>175</v>
      </c>
      <c r="B22">
        <v>657.0</v>
      </c>
      <c r="C22" s="2">
        <v>0.12</v>
      </c>
      <c r="D22">
        <v>80</v>
      </c>
      <c r="E22">
        <f t="shared" si="0"/>
        <v>3436.11</v>
      </c>
      <c r="F22">
        <f t="shared" si="1"/>
        <v>412.3332</v>
      </c>
      <c r="G22" s="3">
        <f t="shared" si="2"/>
        <v>3928.4432</v>
      </c>
    </row>
    <row r="23" spans="1:7" ns3:dyDescent="0.25">
      <c r="A23" t="s">
        <v>176</v>
      </c>
      <c r="B23">
        <v>589.0</v>
      </c>
      <c r="C23" s="2">
        <v>0.12</v>
      </c>
      <c r="D23">
        <v>80</v>
      </c>
      <c r="E23">
        <f t="shared" si="0"/>
        <v>3080.47</v>
      </c>
      <c r="F23">
        <f t="shared" si="1"/>
        <v>369.6564</v>
      </c>
      <c r="G23" s="3">
        <f t="shared" si="2"/>
        <v>3530.1264</v>
      </c>
    </row>
    <row r="24" spans="1:7" ns3:dyDescent="0.25">
      <c r="A24" t="s">
        <v>177</v>
      </c>
      <c r="B24">
        <v>303.0</v>
      </c>
      <c r="C24" s="2">
        <v>0.12</v>
      </c>
      <c r="D24">
        <v>80</v>
      </c>
      <c r="E24">
        <f t="shared" si="0"/>
        <v>1584.69</v>
      </c>
      <c r="F24">
        <f t="shared" si="1"/>
        <v>190.1628</v>
      </c>
      <c r="G24" s="3">
        <f t="shared" si="2"/>
        <v>1854.8528</v>
      </c>
    </row>
    <row r="25" spans="1:7" ns3:dyDescent="0.25">
      <c r="A25" t="s">
        <v>178</v>
      </c>
      <c r="B25">
        <v>371.0</v>
      </c>
      <c r="C25" s="2">
        <v>0.12</v>
      </c>
      <c r="D25">
        <v>80</v>
      </c>
      <c r="E25">
        <f t="shared" si="0"/>
        <v>1940.33</v>
      </c>
      <c r="F25">
        <f t="shared" si="1"/>
        <v>232.8396</v>
      </c>
      <c r="G25" s="3">
        <f t="shared" si="2"/>
        <v>2253.1696</v>
      </c>
    </row>
    <row r="26" spans="1:7" ns3:dyDescent="0.25">
      <c r="A26" t="s">
        <v>658</v>
      </c>
      <c r="B26">
        <v>903.0</v>
      </c>
      <c r="C26" s="2">
        <v>0.12</v>
      </c>
      <c r="D26">
        <v>80</v>
      </c>
      <c r="E26">
        <f t="shared" si="0"/>
        <v>4722.69</v>
      </c>
      <c r="F26">
        <f t="shared" si="1"/>
        <v>566.7228</v>
      </c>
      <c r="G26" s="3">
        <f t="shared" si="2"/>
        <v>5369.4128</v>
      </c>
    </row>
    <row r="27" spans="1:7" ns3:dyDescent="0.25">
      <c r="A27" t="s">
        <v>179</v>
      </c>
      <c r="B27">
        <v>637.0</v>
      </c>
      <c r="C27" s="2">
        <v>0.12</v>
      </c>
      <c r="D27">
        <v>80</v>
      </c>
      <c r="E27">
        <f t="shared" si="0"/>
        <v>3331.51</v>
      </c>
      <c r="F27">
        <f t="shared" si="1"/>
        <v>399.7812</v>
      </c>
      <c r="G27" s="3">
        <f t="shared" si="2"/>
        <v>3811.2912</v>
      </c>
    </row>
    <row r="28" spans="1:7" ns3:dyDescent="0.25">
      <c r="A28" t="s">
        <v>620</v>
      </c>
      <c r="B28">
        <v>579.0</v>
      </c>
      <c r="C28" s="2">
        <v>0.12</v>
      </c>
      <c r="D28">
        <v>80</v>
      </c>
      <c r="E28">
        <f t="shared" si="0"/>
        <v>3028.17</v>
      </c>
      <c r="F28">
        <f t="shared" si="1"/>
        <v>363.3804</v>
      </c>
      <c r="G28" s="3">
        <f t="shared" si="2"/>
        <v>3471.5504</v>
      </c>
    </row>
    <row r="29" spans="1:7" ns3:dyDescent="0.25">
      <c r="A29" t="s">
        <v>180</v>
      </c>
      <c r="B29">
        <v>105.0</v>
      </c>
      <c r="C29" s="2">
        <v>0.12</v>
      </c>
      <c r="D29">
        <v>80</v>
      </c>
      <c r="E29">
        <f t="shared" si="0"/>
        <v>549.15</v>
      </c>
      <c r="F29">
        <f t="shared" si="1"/>
        <v>65.898</v>
      </c>
      <c r="G29" s="3">
        <f t="shared" si="2"/>
        <v>695.048</v>
      </c>
    </row>
    <row r="30" spans="1:7" ns3:dyDescent="0.25">
      <c r="A30" t="s">
        <v>181</v>
      </c>
      <c r="B30">
        <v>945.0</v>
      </c>
      <c r="C30" s="2">
        <v>0.12</v>
      </c>
      <c r="D30">
        <v>80</v>
      </c>
      <c r="E30">
        <f t="shared" si="0"/>
        <v>4942.35</v>
      </c>
      <c r="F30">
        <f t="shared" si="1"/>
        <v>593.082</v>
      </c>
      <c r="G30" s="3">
        <f t="shared" si="2"/>
        <v>5615.432</v>
      </c>
    </row>
    <row r="31" spans="1:7" ns3:dyDescent="0.25">
      <c r="A31" t="s">
        <v>182</v>
      </c>
      <c r="B31">
        <v>887.0</v>
      </c>
      <c r="C31" s="2">
        <v>0.12</v>
      </c>
      <c r="D31">
        <v>80</v>
      </c>
      <c r="E31">
        <f t="shared" si="0"/>
        <v>4639.01</v>
      </c>
      <c r="F31">
        <f t="shared" si="1"/>
        <v>556.6812</v>
      </c>
      <c r="G31" s="3">
        <f t="shared" si="2"/>
        <v>5275.6912</v>
      </c>
    </row>
    <row r="32" spans="1:7" ns3:dyDescent="0.25">
      <c r="A32" t="s">
        <v>183</v>
      </c>
      <c r="B32">
        <v>159.0</v>
      </c>
      <c r="C32" s="2">
        <v>0.12</v>
      </c>
      <c r="D32">
        <v>80</v>
      </c>
      <c r="E32">
        <f t="shared" si="0"/>
        <v>831.57</v>
      </c>
      <c r="F32">
        <f t="shared" si="1"/>
        <v>99.7884</v>
      </c>
      <c r="G32" s="3">
        <f t="shared" si="2"/>
        <v>1011.3584</v>
      </c>
    </row>
    <row r="33" spans="1:7" ns3:dyDescent="0.25">
      <c r="A33" t="s">
        <v>659</v>
      </c>
      <c r="B33">
        <v>549.0</v>
      </c>
      <c r="C33" s="2">
        <v>0.12</v>
      </c>
      <c r="D33">
        <v>80</v>
      </c>
      <c r="E33">
        <f t="shared" si="0"/>
        <v>2871.27</v>
      </c>
      <c r="F33">
        <f t="shared" si="1"/>
        <v>344.5524</v>
      </c>
      <c r="G33" s="3">
        <f t="shared" si="2"/>
        <v>3295.8224</v>
      </c>
    </row>
    <row r="34" spans="1:7" ns3:dyDescent="0.25">
      <c r="A34" t="s">
        <v>184</v>
      </c>
      <c r="B34">
        <v>103.0</v>
      </c>
      <c r="C34" s="2">
        <v>0.12</v>
      </c>
      <c r="D34">
        <v>80</v>
      </c>
      <c r="E34">
        <f t="shared" si="0"/>
        <v>538.69</v>
      </c>
      <c r="F34">
        <f t="shared" si="1"/>
        <v>64.6428</v>
      </c>
      <c r="G34" s="3">
        <f t="shared" si="2"/>
        <v>683.3328</v>
      </c>
    </row>
    <row r="35" spans="1:7" ns3:dyDescent="0.25">
      <c r="A35" t="s">
        <v>621</v>
      </c>
      <c r="B35">
        <v>285.0</v>
      </c>
      <c r="C35" s="2">
        <v>0.12</v>
      </c>
      <c r="D35">
        <v>80</v>
      </c>
      <c r="E35">
        <f t="shared" si="0"/>
        <v>1490.55</v>
      </c>
      <c r="F35">
        <f t="shared" si="1"/>
        <v>178.866</v>
      </c>
      <c r="G35" s="3">
        <f t="shared" si="2"/>
        <v>1749.416</v>
      </c>
    </row>
    <row r="36" spans="1:7" ns3:dyDescent="0.25">
      <c r="A36" t="s">
        <v>622</v>
      </c>
      <c r="B36">
        <v>353.0</v>
      </c>
      <c r="C36" s="2">
        <v>0.12</v>
      </c>
      <c r="D36">
        <v>80</v>
      </c>
      <c r="E36">
        <f t="shared" si="0"/>
        <v>1846.19</v>
      </c>
      <c r="F36">
        <f t="shared" si="1"/>
        <v>221.5428</v>
      </c>
      <c r="G36" s="3">
        <f t="shared" si="2"/>
        <v>2147.7328</v>
      </c>
    </row>
    <row r="37" spans="1:7" ns3:dyDescent="0.25">
      <c r="A37" t="s">
        <v>185</v>
      </c>
      <c r="B37">
        <v>901.0</v>
      </c>
      <c r="C37" s="2">
        <v>0.12</v>
      </c>
      <c r="D37">
        <v>80</v>
      </c>
      <c r="E37">
        <f t="shared" si="0"/>
        <v>4712.23</v>
      </c>
      <c r="F37">
        <f t="shared" si="1"/>
        <v>565.4676</v>
      </c>
      <c r="G37" s="3">
        <f t="shared" si="2"/>
        <v>5357.6976</v>
      </c>
    </row>
    <row r="38" spans="1:7" ns3:dyDescent="0.25">
      <c r="A38" t="s">
        <v>186</v>
      </c>
      <c r="B38">
        <v>711.0</v>
      </c>
      <c r="C38" s="2">
        <v>0.12</v>
      </c>
      <c r="D38">
        <v>80</v>
      </c>
      <c r="E38">
        <f t="shared" si="0"/>
        <v>3718.53</v>
      </c>
      <c r="F38">
        <f t="shared" si="1"/>
        <v>446.2236</v>
      </c>
      <c r="G38" s="3">
        <f t="shared" si="2"/>
        <v>4244.7536</v>
      </c>
    </row>
    <row r="39" spans="1:7" ns3:dyDescent="0.25">
      <c r="A39" t="s">
        <v>698</v>
      </c>
      <c r="B39">
        <v>163.0</v>
      </c>
      <c r="C39" s="2">
        <v>0.12</v>
      </c>
      <c r="D39">
        <v>80</v>
      </c>
      <c r="E39">
        <f t="shared" si="0"/>
        <v>852.49</v>
      </c>
      <c r="F39">
        <f t="shared" si="1"/>
        <v>102.2988</v>
      </c>
      <c r="G39" s="3">
        <f t="shared" si="2"/>
        <v>1034.7888</v>
      </c>
    </row>
    <row r="40" spans="1:7" ns3:dyDescent="0.25">
      <c r="A40" t="s">
        <v>187</v>
      </c>
      <c r="B40">
        <v>279.0</v>
      </c>
      <c r="C40" s="2">
        <v>0.12</v>
      </c>
      <c r="D40">
        <v>80</v>
      </c>
      <c r="E40">
        <f t="shared" si="0"/>
        <v>1459.17</v>
      </c>
      <c r="F40">
        <f t="shared" si="1"/>
        <v>175.1004</v>
      </c>
      <c r="G40" s="3">
        <f t="shared" si="2"/>
        <v>1714.2704</v>
      </c>
    </row>
    <row r="41" spans="1:7" ns3:dyDescent="0.25">
      <c r="A41" t="s">
        <v>188</v>
      </c>
      <c r="B41">
        <v>603.0</v>
      </c>
      <c r="C41" s="2">
        <v>0.12</v>
      </c>
      <c r="D41">
        <v>80</v>
      </c>
      <c r="E41">
        <f t="shared" si="0"/>
        <v>3153.69</v>
      </c>
      <c r="F41">
        <f t="shared" si="1"/>
        <v>378.4428</v>
      </c>
      <c r="G41" s="3">
        <f t="shared" si="2"/>
        <v>3612.1328</v>
      </c>
    </row>
    <row r="42" spans="1:7" ns3:dyDescent="0.25">
      <c r="A42" t="s">
        <v>189</v>
      </c>
      <c r="B42">
        <v>275.0</v>
      </c>
      <c r="C42" s="2">
        <v>0.12</v>
      </c>
      <c r="D42">
        <v>80</v>
      </c>
      <c r="E42">
        <f t="shared" si="0"/>
        <v>1438.25</v>
      </c>
      <c r="F42">
        <f t="shared" si="1"/>
        <v>172.59</v>
      </c>
      <c r="G42" s="3">
        <f t="shared" si="2"/>
        <v>1690.84</v>
      </c>
    </row>
    <row r="43" spans="1:7" ns3:dyDescent="0.25">
      <c r="A43" t="s">
        <v>190</v>
      </c>
      <c r="B43">
        <v>851.0</v>
      </c>
      <c r="C43" s="2">
        <v>0.12</v>
      </c>
      <c r="D43">
        <v>80</v>
      </c>
      <c r="E43">
        <f t="shared" si="0"/>
        <v>4450.73</v>
      </c>
      <c r="F43">
        <f t="shared" si="1"/>
        <v>534.0876</v>
      </c>
      <c r="G43" s="3">
        <f t="shared" si="2"/>
        <v>5064.8176</v>
      </c>
    </row>
    <row r="44" spans="1:7" ns3:dyDescent="0.25">
      <c r="A44" t="s">
        <v>191</v>
      </c>
      <c r="B44">
        <v>171.0</v>
      </c>
      <c r="C44" s="2">
        <v>0.12</v>
      </c>
      <c r="D44">
        <v>80</v>
      </c>
      <c r="E44">
        <f t="shared" si="0"/>
        <v>894.33</v>
      </c>
      <c r="F44">
        <f t="shared" si="1"/>
        <v>107.3196</v>
      </c>
      <c r="G44" s="3">
        <f t="shared" si="2"/>
        <v>1081.6496</v>
      </c>
    </row>
    <row r="45" spans="1:7" ns3:dyDescent="0.25">
      <c r="A45" t="s">
        <v>623</v>
      </c>
      <c r="B45">
        <v>131.0</v>
      </c>
      <c r="C45" s="2">
        <v>0.12</v>
      </c>
      <c r="D45">
        <v>80</v>
      </c>
      <c r="E45">
        <f t="shared" si="0"/>
        <v>685.13</v>
      </c>
      <c r="F45">
        <f t="shared" si="1"/>
        <v>82.2156</v>
      </c>
      <c r="G45" s="3">
        <f t="shared" si="2"/>
        <v>847.3456</v>
      </c>
    </row>
    <row r="46" spans="1:7" ns3:dyDescent="0.25">
      <c r="A46" t="s">
        <v>765</v>
      </c>
      <c r="B46">
        <v>69.0</v>
      </c>
      <c r="C46" s="2">
        <v>0.12</v>
      </c>
      <c r="D46">
        <v>80</v>
      </c>
      <c r="E46">
        <f t="shared" si="0"/>
        <v>360.87</v>
      </c>
      <c r="F46">
        <f t="shared" si="1"/>
        <v>43.3044</v>
      </c>
      <c r="G46" s="3">
        <f t="shared" si="2"/>
        <v>484.1744</v>
      </c>
    </row>
    <row r="47" spans="1:7" ns3:dyDescent="0.25">
      <c r="A47" t="s">
        <v>766</v>
      </c>
      <c r="B47">
        <v>223.0</v>
      </c>
      <c r="C47" s="2">
        <v>0.12</v>
      </c>
      <c r="D47">
        <v>80</v>
      </c>
      <c r="E47">
        <f t="shared" si="0"/>
        <v>1166.29</v>
      </c>
      <c r="F47">
        <f t="shared" si="1"/>
        <v>139.9548</v>
      </c>
      <c r="G47" s="3">
        <f t="shared" si="2"/>
        <v>1386.2448</v>
      </c>
    </row>
    <row r="48" spans="1:7" ns3:dyDescent="0.25">
      <c r="A48" t="s">
        <v>490</v>
      </c>
      <c r="B48">
        <v>923.0</v>
      </c>
      <c r="C48" s="2">
        <v>0.12</v>
      </c>
      <c r="D48">
        <v>80</v>
      </c>
      <c r="E48">
        <f t="shared" si="0"/>
        <v>4827.29</v>
      </c>
      <c r="F48">
        <f t="shared" si="1"/>
        <v>579.2748</v>
      </c>
      <c r="G48" s="3">
        <f t="shared" si="2"/>
        <v>5486.5648</v>
      </c>
    </row>
    <row r="49" spans="1:7" ns3:dyDescent="0.25">
      <c r="A49" t="s">
        <v>192</v>
      </c>
      <c r="B49">
        <v>883.0</v>
      </c>
      <c r="C49" s="2">
        <v>0.12</v>
      </c>
      <c r="D49">
        <v>50</v>
      </c>
      <c r="E49">
        <f t="shared" si="0"/>
        <v>4618.09</v>
      </c>
      <c r="F49">
        <f t="shared" si="1"/>
        <v>554.1708</v>
      </c>
      <c r="G49" s="3">
        <f t="shared" si="2"/>
        <v>5222.2608</v>
      </c>
    </row>
    <row r="50" spans="1:7" ns3:dyDescent="0.25">
      <c r="A50" t="s">
        <v>193</v>
      </c>
      <c r="B50">
        <v>665.0</v>
      </c>
      <c r="C50" s="2">
        <v>0.12</v>
      </c>
      <c r="D50">
        <v>50</v>
      </c>
      <c r="E50">
        <f t="shared" si="0"/>
        <v>3477.95</v>
      </c>
      <c r="F50">
        <f t="shared" si="1"/>
        <v>417.354</v>
      </c>
      <c r="G50" s="3">
        <f t="shared" si="2"/>
        <v>3945.304</v>
      </c>
    </row>
    <row r="51" spans="1:7" ns3:dyDescent="0.25">
      <c r="A51" t="s">
        <v>194</v>
      </c>
      <c r="B51">
        <v>451.0</v>
      </c>
      <c r="C51" s="2">
        <v>0.12</v>
      </c>
      <c r="D51">
        <v>50</v>
      </c>
      <c r="E51">
        <f t="shared" si="0"/>
        <v>2358.73</v>
      </c>
      <c r="F51">
        <f t="shared" si="1"/>
        <v>283.0476</v>
      </c>
      <c r="G51" s="3">
        <f t="shared" si="2"/>
        <v>2691.7776</v>
      </c>
    </row>
    <row r="52" spans="1:7" ns3:dyDescent="0.25">
      <c r="A52" t="s">
        <v>195</v>
      </c>
      <c r="B52">
        <v>465.0</v>
      </c>
      <c r="C52" s="2">
        <v>0.12</v>
      </c>
      <c r="D52">
        <v>50</v>
      </c>
      <c r="E52">
        <f t="shared" si="0"/>
        <v>2431.95</v>
      </c>
      <c r="F52">
        <f t="shared" si="1"/>
        <v>291.834</v>
      </c>
      <c r="G52" s="3">
        <f t="shared" si="2"/>
        <v>2773.784</v>
      </c>
    </row>
    <row r="53" spans="1:7" ns3:dyDescent="0.25">
      <c r="A53" t="s">
        <v>491</v>
      </c>
      <c r="B53">
        <v>443.0</v>
      </c>
      <c r="C53" s="2">
        <v>0.12</v>
      </c>
      <c r="D53">
        <v>50</v>
      </c>
      <c r="E53">
        <f t="shared" si="0"/>
        <v>2316.89</v>
      </c>
      <c r="F53">
        <f t="shared" si="1"/>
        <v>278.0268</v>
      </c>
      <c r="G53" s="3">
        <f t="shared" si="2"/>
        <v>2644.9168</v>
      </c>
    </row>
    <row r="54" spans="1:7" ns3:dyDescent="0.25">
      <c r="A54" t="s">
        <v>492</v>
      </c>
      <c r="B54">
        <v>139.0</v>
      </c>
      <c r="C54" s="2">
        <v>0.12</v>
      </c>
      <c r="D54">
        <v>50</v>
      </c>
      <c r="E54">
        <f t="shared" si="0"/>
        <v>726.97</v>
      </c>
      <c r="F54">
        <f t="shared" si="1"/>
        <v>87.2364</v>
      </c>
      <c r="G54" s="3">
        <f t="shared" si="2"/>
        <v>864.2064</v>
      </c>
    </row>
    <row r="55" spans="1:7" ns3:dyDescent="0.25">
      <c r="A55" t="s">
        <v>493</v>
      </c>
      <c r="B55">
        <v>793.0</v>
      </c>
      <c r="C55" s="2">
        <v>0.12</v>
      </c>
      <c r="D55">
        <v>50</v>
      </c>
      <c r="E55">
        <f t="shared" si="0"/>
        <v>4147.39</v>
      </c>
      <c r="F55">
        <f t="shared" si="1"/>
        <v>497.6868</v>
      </c>
      <c r="G55" s="3">
        <f t="shared" si="2"/>
        <v>4695.0768</v>
      </c>
    </row>
    <row r="56" spans="1:7" ns3:dyDescent="0.25">
      <c r="A56" t="s">
        <v>494</v>
      </c>
      <c r="B56">
        <v>663.0</v>
      </c>
      <c r="C56" s="2">
        <v>0.12</v>
      </c>
      <c r="D56">
        <v>50</v>
      </c>
      <c r="E56">
        <f t="shared" si="0"/>
        <v>3467.49</v>
      </c>
      <c r="F56">
        <f t="shared" si="1"/>
        <v>416.0988</v>
      </c>
      <c r="G56" s="3">
        <f t="shared" si="2"/>
        <v>3933.5888</v>
      </c>
    </row>
    <row r="57" spans="1:7" ns3:dyDescent="0.25">
      <c r="A57" t="s">
        <v>495</v>
      </c>
      <c r="B57">
        <v>887.0</v>
      </c>
      <c r="C57" s="2">
        <v>0.12</v>
      </c>
      <c r="D57">
        <v>50</v>
      </c>
      <c r="E57">
        <f t="shared" si="0"/>
        <v>4639.01</v>
      </c>
      <c r="F57">
        <f t="shared" si="1"/>
        <v>556.6812</v>
      </c>
      <c r="G57" s="3">
        <f t="shared" si="2"/>
        <v>5245.6912</v>
      </c>
    </row>
    <row r="58" spans="1:7" ns3:dyDescent="0.25">
      <c r="A58" t="s">
        <v>496</v>
      </c>
      <c r="B58">
        <v>831.0</v>
      </c>
      <c r="C58" s="2">
        <v>0.12</v>
      </c>
      <c r="D58">
        <v>50</v>
      </c>
      <c r="E58">
        <f t="shared" si="0"/>
        <v>4346.13</v>
      </c>
      <c r="F58">
        <f t="shared" si="1"/>
        <v>521.5356</v>
      </c>
      <c r="G58" s="3">
        <f t="shared" si="2"/>
        <v>4917.6656</v>
      </c>
    </row>
    <row r="59" spans="1:7" ns3:dyDescent="0.25">
      <c r="A59" t="s">
        <v>497</v>
      </c>
      <c r="B59">
        <v>553.0</v>
      </c>
      <c r="C59" s="2">
        <v>0.12</v>
      </c>
      <c r="D59">
        <v>50</v>
      </c>
      <c r="E59">
        <f t="shared" si="0"/>
        <v>2892.19</v>
      </c>
      <c r="F59">
        <f t="shared" si="1"/>
        <v>347.0628</v>
      </c>
      <c r="G59" s="3">
        <f t="shared" si="2"/>
        <v>3289.2528</v>
      </c>
    </row>
    <row r="60" spans="1:7" ns3:dyDescent="0.25">
      <c r="A60" t="s">
        <v>498</v>
      </c>
      <c r="B60">
        <v>501.0</v>
      </c>
      <c r="C60" s="2">
        <v>0.12</v>
      </c>
      <c r="D60">
        <v>50</v>
      </c>
      <c r="E60">
        <f t="shared" si="0"/>
        <v>2620.23</v>
      </c>
      <c r="F60">
        <f t="shared" si="1"/>
        <v>314.4276</v>
      </c>
      <c r="G60" s="3">
        <f t="shared" si="2"/>
        <v>2984.6576</v>
      </c>
    </row>
    <row r="61" spans="1:7" ns3:dyDescent="0.25">
      <c r="A61" t="s">
        <v>499</v>
      </c>
      <c r="B61">
        <v>899.0</v>
      </c>
      <c r="C61" s="2">
        <v>0.12</v>
      </c>
      <c r="D61">
        <v>50</v>
      </c>
      <c r="E61">
        <f t="shared" si="0"/>
        <v>4701.77</v>
      </c>
      <c r="F61">
        <f t="shared" si="1"/>
        <v>564.2124</v>
      </c>
      <c r="G61" s="3">
        <f t="shared" si="2"/>
        <v>5315.9824</v>
      </c>
    </row>
    <row r="62" spans="1:7" ns3:dyDescent="0.25">
      <c r="A62" t="s">
        <v>500</v>
      </c>
      <c r="B62">
        <v>437.0</v>
      </c>
      <c r="C62" s="2">
        <v>0.12</v>
      </c>
      <c r="D62">
        <v>50</v>
      </c>
      <c r="E62">
        <f t="shared" si="0"/>
        <v>2285.51</v>
      </c>
      <c r="F62">
        <f t="shared" si="1"/>
        <v>274.2612</v>
      </c>
      <c r="G62" s="3">
        <f t="shared" si="2"/>
        <v>2609.7712</v>
      </c>
    </row>
    <row r="63" spans="1:7" ns3:dyDescent="0.25">
      <c r="A63" t="s">
        <v>196</v>
      </c>
      <c r="B63">
        <v>73.0</v>
      </c>
      <c r="C63" s="2">
        <v>0.12</v>
      </c>
      <c r="D63">
        <v>50</v>
      </c>
      <c r="E63">
        <f t="shared" si="0"/>
        <v>381.79</v>
      </c>
      <c r="F63">
        <f t="shared" si="1"/>
        <v>45.8148</v>
      </c>
      <c r="G63" s="3">
        <f t="shared" si="2"/>
        <v>477.6048</v>
      </c>
    </row>
    <row r="64" spans="1:7" ns3:dyDescent="0.25">
      <c r="A64" t="s">
        <v>197</v>
      </c>
      <c r="B64">
        <v>73.0</v>
      </c>
      <c r="C64" s="2">
        <v>0.12</v>
      </c>
      <c r="D64">
        <v>50</v>
      </c>
      <c r="E64">
        <f t="shared" si="0"/>
        <v>381.79</v>
      </c>
      <c r="F64">
        <f t="shared" si="1"/>
        <v>45.8148</v>
      </c>
      <c r="G64" s="3">
        <f t="shared" si="2"/>
        <v>477.6048</v>
      </c>
    </row>
    <row r="65" spans="1:7" ns3:dyDescent="0.25">
      <c r="A65" t="s">
        <v>198</v>
      </c>
      <c r="B65">
        <v>165.0</v>
      </c>
      <c r="C65" s="2">
        <v>0.12</v>
      </c>
      <c r="D65">
        <v>50</v>
      </c>
      <c r="E65">
        <f t="shared" si="0"/>
        <v>862.95</v>
      </c>
      <c r="F65">
        <f t="shared" si="1"/>
        <v>103.554</v>
      </c>
      <c r="G65" s="3">
        <f t="shared" si="2"/>
        <v>1016.504</v>
      </c>
    </row>
    <row r="66" spans="1:7" ns3:dyDescent="0.25">
      <c r="A66" t="s">
        <v>501</v>
      </c>
      <c r="B66">
        <v>835.0</v>
      </c>
      <c r="C66" s="2">
        <v>0.12</v>
      </c>
      <c r="D66">
        <v>50</v>
      </c>
      <c r="E66">
        <f t="shared" si="0"/>
        <v>4367.05</v>
      </c>
      <c r="F66">
        <f t="shared" si="1"/>
        <v>524.046</v>
      </c>
      <c r="G66" s="3">
        <f t="shared" si="2"/>
        <v>4941.096</v>
      </c>
    </row>
    <row r="67" spans="1:7" ns3:dyDescent="0.25">
      <c r="A67" t="s">
        <v>502</v>
      </c>
      <c r="B67">
        <v>99.0</v>
      </c>
      <c r="C67" s="2">
        <v>0.12</v>
      </c>
      <c r="D67">
        <v>50</v>
      </c>
      <c r="E67">
        <f t="shared" ref="E67:E130" si="3">5.23*B67</f>
        <v>517.77</v>
      </c>
      <c r="F67">
        <f t="shared" ref="F67:F130" si="4">E67*C67</f>
        <v>62.1324</v>
      </c>
      <c r="G67" s="3">
        <f t="shared" ref="G67:G130" si="5">F67+E67+D67</f>
        <v>629.9024</v>
      </c>
    </row>
    <row r="68" spans="1:7" ns3:dyDescent="0.25">
      <c r="A68" t="s">
        <v>722</v>
      </c>
      <c r="B68">
        <v>867.0</v>
      </c>
      <c r="C68" s="2">
        <v>0.12</v>
      </c>
      <c r="D68">
        <v>50</v>
      </c>
      <c r="E68">
        <f t="shared" si="3"/>
        <v>4534.41</v>
      </c>
      <c r="F68">
        <f t="shared" si="4"/>
        <v>544.1292</v>
      </c>
      <c r="G68" s="3">
        <f t="shared" si="5"/>
        <v>5128.5392</v>
      </c>
    </row>
    <row r="69" spans="1:7" ns3:dyDescent="0.25">
      <c r="A69" t="s">
        <v>723</v>
      </c>
      <c r="B69">
        <v>707.0</v>
      </c>
      <c r="C69" s="2">
        <v>0.12</v>
      </c>
      <c r="D69">
        <v>50</v>
      </c>
      <c r="E69">
        <f t="shared" si="3"/>
        <v>3697.61</v>
      </c>
      <c r="F69">
        <f t="shared" si="4"/>
        <v>443.7132</v>
      </c>
      <c r="G69" s="3">
        <f t="shared" si="5"/>
        <v>4191.3232</v>
      </c>
    </row>
    <row r="70" spans="1:7" ns3:dyDescent="0.25">
      <c r="A70" t="s">
        <v>724</v>
      </c>
      <c r="B70">
        <v>139.0</v>
      </c>
      <c r="C70" s="2">
        <v>0.12</v>
      </c>
      <c r="D70">
        <v>50</v>
      </c>
      <c r="E70">
        <f t="shared" si="3"/>
        <v>726.97</v>
      </c>
      <c r="F70">
        <f t="shared" si="4"/>
        <v>87.2364</v>
      </c>
      <c r="G70" s="3">
        <f t="shared" si="5"/>
        <v>864.2064</v>
      </c>
    </row>
    <row r="71" spans="1:7" ns3:dyDescent="0.25">
      <c r="A71" t="s">
        <v>429</v>
      </c>
      <c r="B71">
        <v>267.0</v>
      </c>
      <c r="C71" s="2">
        <v>0.12</v>
      </c>
      <c r="D71">
        <v>50</v>
      </c>
      <c r="E71">
        <f t="shared" si="3"/>
        <v>1396.41</v>
      </c>
      <c r="F71">
        <f t="shared" si="4"/>
        <v>167.5692</v>
      </c>
      <c r="G71" s="3">
        <f t="shared" si="5"/>
        <v>1613.9792</v>
      </c>
    </row>
    <row r="72" spans="1:7" ns3:dyDescent="0.25">
      <c r="A72" t="s">
        <v>725</v>
      </c>
      <c r="B72">
        <v>595.0</v>
      </c>
      <c r="C72" s="2">
        <v>0.12</v>
      </c>
      <c r="D72">
        <v>50</v>
      </c>
      <c r="E72">
        <f t="shared" si="3"/>
        <v>3111.85</v>
      </c>
      <c r="F72">
        <f t="shared" si="4"/>
        <v>373.422</v>
      </c>
      <c r="G72" s="3">
        <f t="shared" si="5"/>
        <v>3535.272</v>
      </c>
    </row>
    <row r="73" spans="1:7" ns3:dyDescent="0.25">
      <c r="A73" t="s">
        <v>430</v>
      </c>
      <c r="B73">
        <v>771.0</v>
      </c>
      <c r="C73" s="2">
        <v>0.12</v>
      </c>
      <c r="D73">
        <v>50</v>
      </c>
      <c r="E73">
        <f t="shared" si="3"/>
        <v>4032.33</v>
      </c>
      <c r="F73">
        <f t="shared" si="4"/>
        <v>483.8796</v>
      </c>
      <c r="G73" s="3">
        <f t="shared" si="5"/>
        <v>4566.2096</v>
      </c>
    </row>
    <row r="74" spans="1:7" ns3:dyDescent="0.25">
      <c r="A74" t="s">
        <v>431</v>
      </c>
      <c r="B74">
        <v>829.0</v>
      </c>
      <c r="C74" s="2">
        <v>0.12</v>
      </c>
      <c r="D74">
        <v>50</v>
      </c>
      <c r="E74">
        <f t="shared" si="3"/>
        <v>4335.67</v>
      </c>
      <c r="F74">
        <f t="shared" si="4"/>
        <v>520.2804</v>
      </c>
      <c r="G74" s="3">
        <f t="shared" si="5"/>
        <v>4905.9504</v>
      </c>
    </row>
    <row r="75" spans="1:7" ns3:dyDescent="0.25">
      <c r="A75" t="s">
        <v>432</v>
      </c>
      <c r="B75">
        <v>703.0</v>
      </c>
      <c r="C75" s="2">
        <v>0.12</v>
      </c>
      <c r="D75">
        <v>50</v>
      </c>
      <c r="E75">
        <f t="shared" si="3"/>
        <v>3676.69</v>
      </c>
      <c r="F75">
        <f t="shared" si="4"/>
        <v>441.2028</v>
      </c>
      <c r="G75" s="3">
        <f t="shared" si="5"/>
        <v>4167.8928</v>
      </c>
    </row>
    <row r="76" spans="1:7" ns3:dyDescent="0.25">
      <c r="A76" t="s">
        <v>433</v>
      </c>
      <c r="B76">
        <v>645.0</v>
      </c>
      <c r="C76" s="2">
        <v>0.12</v>
      </c>
      <c r="D76">
        <v>50</v>
      </c>
      <c r="E76">
        <f t="shared" si="3"/>
        <v>3373.35</v>
      </c>
      <c r="F76">
        <f t="shared" si="4"/>
        <v>404.802</v>
      </c>
      <c r="G76" s="3">
        <f t="shared" si="5"/>
        <v>3828.152</v>
      </c>
    </row>
    <row r="77" spans="1:7" ns3:dyDescent="0.25">
      <c r="A77" t="s">
        <v>607</v>
      </c>
      <c r="B77">
        <v>797.0</v>
      </c>
      <c r="C77" s="2">
        <v>0.12</v>
      </c>
      <c r="D77">
        <v>50</v>
      </c>
      <c r="E77">
        <f t="shared" si="3"/>
        <v>4168.31</v>
      </c>
      <c r="F77">
        <f t="shared" si="4"/>
        <v>500.1972</v>
      </c>
      <c r="G77" s="3">
        <f t="shared" si="5"/>
        <v>4718.5072</v>
      </c>
    </row>
    <row r="78" spans="1:7" ns3:dyDescent="0.25">
      <c r="A78" t="s">
        <v>608</v>
      </c>
      <c r="B78">
        <v>745.0</v>
      </c>
      <c r="C78" s="2">
        <v>0.12</v>
      </c>
      <c r="D78">
        <v>50</v>
      </c>
      <c r="E78">
        <f t="shared" si="3"/>
        <v>3896.35</v>
      </c>
      <c r="F78">
        <f t="shared" si="4"/>
        <v>467.562</v>
      </c>
      <c r="G78" s="3">
        <f t="shared" si="5"/>
        <v>4413.912</v>
      </c>
    </row>
    <row r="79" spans="1:7" ns3:dyDescent="0.25">
      <c r="A79" t="s">
        <v>609</v>
      </c>
      <c r="B79">
        <v>687.0</v>
      </c>
      <c r="C79" s="2">
        <v>0.12</v>
      </c>
      <c r="D79">
        <v>50</v>
      </c>
      <c r="E79">
        <f t="shared" si="3"/>
        <v>3593.01</v>
      </c>
      <c r="F79">
        <f t="shared" si="4"/>
        <v>431.1612</v>
      </c>
      <c r="G79" s="3">
        <f t="shared" si="5"/>
        <v>4074.1712</v>
      </c>
    </row>
    <row r="80" spans="1:7" ns3:dyDescent="0.25">
      <c r="A80" t="s">
        <v>610</v>
      </c>
      <c r="B80">
        <v>351.0</v>
      </c>
      <c r="C80" s="2">
        <v>0.12</v>
      </c>
      <c r="D80">
        <v>50</v>
      </c>
      <c r="E80">
        <f t="shared" si="3"/>
        <v>1835.73</v>
      </c>
      <c r="F80">
        <f t="shared" si="4"/>
        <v>220.2876</v>
      </c>
      <c r="G80" s="3">
        <f t="shared" si="5"/>
        <v>2106.0176</v>
      </c>
    </row>
    <row r="81" spans="1:7" ns3:dyDescent="0.25">
      <c r="A81" t="s">
        <v>611</v>
      </c>
      <c r="B81">
        <v>467.0</v>
      </c>
      <c r="C81" s="2">
        <v>0.12</v>
      </c>
      <c r="D81">
        <v>50</v>
      </c>
      <c r="E81">
        <f t="shared" si="3"/>
        <v>2442.41</v>
      </c>
      <c r="F81">
        <f t="shared" si="4"/>
        <v>293.0892</v>
      </c>
      <c r="G81" s="3">
        <f t="shared" si="5"/>
        <v>2785.4992</v>
      </c>
    </row>
    <row r="82" spans="1:7" ns3:dyDescent="0.25">
      <c r="A82" t="s">
        <v>612</v>
      </c>
      <c r="B82">
        <v>409.0</v>
      </c>
      <c r="C82" s="2">
        <v>0.12</v>
      </c>
      <c r="D82">
        <v>50</v>
      </c>
      <c r="E82">
        <f t="shared" si="3"/>
        <v>2139.07</v>
      </c>
      <c r="F82">
        <f t="shared" si="4"/>
        <v>256.6884</v>
      </c>
      <c r="G82" s="3">
        <f t="shared" si="5"/>
        <v>2445.7584</v>
      </c>
    </row>
    <row r="83" spans="1:7" ns3:dyDescent="0.25">
      <c r="A83" t="s">
        <v>199</v>
      </c>
      <c r="B83">
        <v>519.0</v>
      </c>
      <c r="C83" s="2">
        <v>0.12</v>
      </c>
      <c r="D83">
        <v>50</v>
      </c>
      <c r="E83">
        <f t="shared" si="3"/>
        <v>2714.37</v>
      </c>
      <c r="F83">
        <f t="shared" si="4"/>
        <v>325.7244</v>
      </c>
      <c r="G83" s="3">
        <f t="shared" si="5"/>
        <v>3090.0944</v>
      </c>
    </row>
    <row r="84" spans="1:7" ns3:dyDescent="0.25">
      <c r="A84" t="s">
        <v>503</v>
      </c>
      <c r="B84">
        <v>577.0</v>
      </c>
      <c r="C84" s="2">
        <v>0.12</v>
      </c>
      <c r="D84">
        <v>50</v>
      </c>
      <c r="E84">
        <f t="shared" si="3"/>
        <v>3017.71</v>
      </c>
      <c r="F84">
        <f t="shared" si="4"/>
        <v>362.1252</v>
      </c>
      <c r="G84" s="3">
        <f t="shared" si="5"/>
        <v>3429.8352</v>
      </c>
    </row>
    <row r="85" spans="1:7" ns3:dyDescent="0.25">
      <c r="A85" t="s">
        <v>504</v>
      </c>
      <c r="B85">
        <v>491.0</v>
      </c>
      <c r="C85" s="2">
        <v>0.12</v>
      </c>
      <c r="D85">
        <v>50</v>
      </c>
      <c r="E85">
        <f t="shared" si="3"/>
        <v>2567.93</v>
      </c>
      <c r="F85">
        <f t="shared" si="4"/>
        <v>308.1516</v>
      </c>
      <c r="G85" s="3">
        <f t="shared" si="5"/>
        <v>2926.0816</v>
      </c>
    </row>
    <row r="86" spans="1:7" ns3:dyDescent="0.25">
      <c r="A86" t="s">
        <v>505</v>
      </c>
      <c r="B86">
        <v>593.0</v>
      </c>
      <c r="C86" s="2">
        <v>0.12</v>
      </c>
      <c r="D86">
        <v>50</v>
      </c>
      <c r="E86">
        <f t="shared" si="3"/>
        <v>3101.39</v>
      </c>
      <c r="F86">
        <f t="shared" si="4"/>
        <v>372.1668</v>
      </c>
      <c r="G86" s="3">
        <f t="shared" si="5"/>
        <v>3523.5568</v>
      </c>
    </row>
    <row r="87" spans="1:7" ns3:dyDescent="0.25">
      <c r="A87" t="s">
        <v>699</v>
      </c>
      <c r="B87">
        <v>255.0</v>
      </c>
      <c r="C87" s="2">
        <v>0.12</v>
      </c>
      <c r="D87">
        <v>50</v>
      </c>
      <c r="E87">
        <f t="shared" si="3"/>
        <v>1333.65</v>
      </c>
      <c r="F87">
        <f t="shared" si="4"/>
        <v>160.038</v>
      </c>
      <c r="G87" s="3">
        <f t="shared" si="5"/>
        <v>1543.688</v>
      </c>
    </row>
    <row r="88" spans="1:7" ns3:dyDescent="0.25">
      <c r="A88" t="s">
        <v>506</v>
      </c>
      <c r="B88">
        <v>883.0</v>
      </c>
      <c r="C88" s="2">
        <v>0.12</v>
      </c>
      <c r="D88">
        <v>50</v>
      </c>
      <c r="E88">
        <f t="shared" si="3"/>
        <v>4618.09</v>
      </c>
      <c r="F88">
        <f t="shared" si="4"/>
        <v>554.1708</v>
      </c>
      <c r="G88" s="3">
        <f t="shared" si="5"/>
        <v>5222.2608</v>
      </c>
    </row>
    <row r="89" spans="1:7" ns3:dyDescent="0.25">
      <c r="A89" t="s">
        <v>507</v>
      </c>
      <c r="B89">
        <v>119.0</v>
      </c>
      <c r="C89" s="2">
        <v>0.12</v>
      </c>
      <c r="D89">
        <v>50</v>
      </c>
      <c r="E89">
        <f t="shared" si="3"/>
        <v>622.37</v>
      </c>
      <c r="F89">
        <f t="shared" si="4"/>
        <v>74.6844</v>
      </c>
      <c r="G89" s="3">
        <f t="shared" si="5"/>
        <v>747.0544</v>
      </c>
    </row>
    <row r="90" spans="1:7" ns3:dyDescent="0.25">
      <c r="A90" t="s">
        <v>508</v>
      </c>
      <c r="B90">
        <v>675.0</v>
      </c>
      <c r="C90" s="2">
        <v>0.12</v>
      </c>
      <c r="D90">
        <v>50</v>
      </c>
      <c r="E90">
        <f t="shared" si="3"/>
        <v>3530.25</v>
      </c>
      <c r="F90">
        <f t="shared" si="4"/>
        <v>423.63</v>
      </c>
      <c r="G90" s="3">
        <f t="shared" si="5"/>
        <v>4003.88</v>
      </c>
    </row>
    <row r="91" spans="1:7" ns3:dyDescent="0.25">
      <c r="A91" t="s">
        <v>509</v>
      </c>
      <c r="B91">
        <v>411.0</v>
      </c>
      <c r="C91" s="2">
        <v>0.12</v>
      </c>
      <c r="D91">
        <v>50</v>
      </c>
      <c r="E91">
        <f t="shared" si="3"/>
        <v>2149.53</v>
      </c>
      <c r="F91">
        <f t="shared" si="4"/>
        <v>257.9436</v>
      </c>
      <c r="G91" s="3">
        <f t="shared" si="5"/>
        <v>2457.4736</v>
      </c>
    </row>
    <row r="92" spans="1:7" ns3:dyDescent="0.25">
      <c r="A92" t="s">
        <v>510</v>
      </c>
      <c r="B92">
        <v>353.0</v>
      </c>
      <c r="C92" s="2">
        <v>0.12</v>
      </c>
      <c r="D92">
        <v>50</v>
      </c>
      <c r="E92">
        <f t="shared" si="3"/>
        <v>1846.19</v>
      </c>
      <c r="F92">
        <f t="shared" si="4"/>
        <v>221.5428</v>
      </c>
      <c r="G92" s="3">
        <f t="shared" si="5"/>
        <v>2117.7328</v>
      </c>
    </row>
    <row r="93" spans="1:7" ns3:dyDescent="0.25">
      <c r="A93" t="s">
        <v>511</v>
      </c>
      <c r="B93">
        <v>703.0</v>
      </c>
      <c r="C93" s="2">
        <v>0.12</v>
      </c>
      <c r="D93">
        <v>50</v>
      </c>
      <c r="E93">
        <f t="shared" si="3"/>
        <v>3676.69</v>
      </c>
      <c r="F93">
        <f t="shared" si="4"/>
        <v>441.2028</v>
      </c>
      <c r="G93" s="3">
        <f t="shared" si="5"/>
        <v>4167.8928</v>
      </c>
    </row>
    <row r="94" spans="1:7" ns3:dyDescent="0.25">
      <c r="A94" t="s">
        <v>512</v>
      </c>
      <c r="B94">
        <v>319.0</v>
      </c>
      <c r="C94" s="2">
        <v>0.12</v>
      </c>
      <c r="D94">
        <v>50</v>
      </c>
      <c r="E94">
        <f t="shared" si="3"/>
        <v>1668.37</v>
      </c>
      <c r="F94">
        <f t="shared" si="4"/>
        <v>200.2044</v>
      </c>
      <c r="G94" s="3">
        <f t="shared" si="5"/>
        <v>1918.5744</v>
      </c>
    </row>
    <row r="95" spans="1:7" ns3:dyDescent="0.25">
      <c r="A95" t="s">
        <v>513</v>
      </c>
      <c r="B95">
        <v>709.0</v>
      </c>
      <c r="C95" s="2">
        <v>0.12</v>
      </c>
      <c r="D95">
        <v>50</v>
      </c>
      <c r="E95">
        <f t="shared" si="3"/>
        <v>3708.07</v>
      </c>
      <c r="F95">
        <f t="shared" si="4"/>
        <v>444.9684</v>
      </c>
      <c r="G95" s="3">
        <f t="shared" si="5"/>
        <v>4203.0384</v>
      </c>
    </row>
    <row r="96" spans="1:7" ns3:dyDescent="0.25">
      <c r="A96" t="s">
        <v>514</v>
      </c>
      <c r="B96">
        <v>757.0</v>
      </c>
      <c r="C96" s="2">
        <v>0.12</v>
      </c>
      <c r="D96">
        <v>50</v>
      </c>
      <c r="E96">
        <f t="shared" si="3"/>
        <v>3959.11</v>
      </c>
      <c r="F96">
        <f t="shared" si="4"/>
        <v>475.0932</v>
      </c>
      <c r="G96" s="3">
        <f t="shared" si="5"/>
        <v>4484.2032</v>
      </c>
    </row>
    <row r="97" spans="1:7" ns3:dyDescent="0.25">
      <c r="A97" t="s">
        <v>515</v>
      </c>
      <c r="B97">
        <v>491.0</v>
      </c>
      <c r="C97" s="2">
        <v>0.12</v>
      </c>
      <c r="D97">
        <v>50</v>
      </c>
      <c r="E97">
        <f t="shared" si="3"/>
        <v>2567.93</v>
      </c>
      <c r="F97">
        <f t="shared" si="4"/>
        <v>308.1516</v>
      </c>
      <c r="G97" s="3">
        <f t="shared" si="5"/>
        <v>2926.0816</v>
      </c>
    </row>
    <row r="98" spans="1:7" ns3:dyDescent="0.25">
      <c r="A98" t="s">
        <v>200</v>
      </c>
      <c r="B98">
        <v>335.0</v>
      </c>
      <c r="C98" s="2">
        <v>0.12</v>
      </c>
      <c r="D98">
        <v>50</v>
      </c>
      <c r="E98">
        <f t="shared" si="3"/>
        <v>1752.05</v>
      </c>
      <c r="F98">
        <f t="shared" si="4"/>
        <v>210.246</v>
      </c>
      <c r="G98" s="3">
        <f t="shared" si="5"/>
        <v>2012.296</v>
      </c>
    </row>
    <row r="99" spans="1:7" ns3:dyDescent="0.25">
      <c r="A99" t="s">
        <v>201</v>
      </c>
      <c r="B99">
        <v>699.0</v>
      </c>
      <c r="C99" s="2">
        <v>0.12</v>
      </c>
      <c r="D99">
        <v>50</v>
      </c>
      <c r="E99">
        <f t="shared" si="3"/>
        <v>3655.77</v>
      </c>
      <c r="F99">
        <f t="shared" si="4"/>
        <v>438.6924</v>
      </c>
      <c r="G99" s="3">
        <f t="shared" si="5"/>
        <v>4144.4624</v>
      </c>
    </row>
    <row r="100" spans="1:7" ns3:dyDescent="0.25">
      <c r="A100" t="s">
        <v>202</v>
      </c>
      <c r="B100">
        <v>891.0</v>
      </c>
      <c r="C100" s="2">
        <v>0.12</v>
      </c>
      <c r="D100">
        <v>50</v>
      </c>
      <c r="E100">
        <f t="shared" si="3"/>
        <v>4659.93</v>
      </c>
      <c r="F100">
        <f t="shared" si="4"/>
        <v>559.1916</v>
      </c>
      <c r="G100" s="3">
        <f t="shared" si="5"/>
        <v>5269.1216</v>
      </c>
    </row>
    <row r="101" spans="1:7" ns3:dyDescent="0.25">
      <c r="A101" t="s">
        <v>203</v>
      </c>
      <c r="B101">
        <v>445.0</v>
      </c>
      <c r="C101" s="2">
        <v>0.12</v>
      </c>
      <c r="D101">
        <v>50</v>
      </c>
      <c r="E101">
        <f t="shared" si="3"/>
        <v>2327.35</v>
      </c>
      <c r="F101">
        <f t="shared" si="4"/>
        <v>279.282</v>
      </c>
      <c r="G101" s="3">
        <f t="shared" si="5"/>
        <v>2656.632</v>
      </c>
    </row>
    <row r="102" spans="1:7" ns3:dyDescent="0.25">
      <c r="A102" t="s">
        <v>204</v>
      </c>
      <c r="B102">
        <v>373.0</v>
      </c>
      <c r="C102" s="2">
        <v>0.12</v>
      </c>
      <c r="D102">
        <v>50</v>
      </c>
      <c r="E102">
        <f t="shared" si="3"/>
        <v>1950.79</v>
      </c>
      <c r="F102">
        <f t="shared" si="4"/>
        <v>234.0948</v>
      </c>
      <c r="G102" s="3">
        <f t="shared" si="5"/>
        <v>2234.8848</v>
      </c>
    </row>
    <row r="103" spans="1:7" ns3:dyDescent="0.25">
      <c r="A103" t="s">
        <v>205</v>
      </c>
      <c r="B103">
        <v>393.0</v>
      </c>
      <c r="C103" s="2">
        <v>0.12</v>
      </c>
      <c r="D103">
        <v>50</v>
      </c>
      <c r="E103">
        <f t="shared" si="3"/>
        <v>2055.39</v>
      </c>
      <c r="F103">
        <f t="shared" si="4"/>
        <v>246.6468</v>
      </c>
      <c r="G103" s="3">
        <f t="shared" si="5"/>
        <v>2352.0368</v>
      </c>
    </row>
    <row r="104" spans="1:7" ns3:dyDescent="0.25">
      <c r="A104" t="s">
        <v>206</v>
      </c>
      <c r="B104">
        <v>583.0</v>
      </c>
      <c r="C104" s="2">
        <v>0.12</v>
      </c>
      <c r="D104">
        <v>50</v>
      </c>
      <c r="E104">
        <f t="shared" si="3"/>
        <v>3049.09</v>
      </c>
      <c r="F104">
        <f t="shared" si="4"/>
        <v>365.8908</v>
      </c>
      <c r="G104" s="3">
        <f t="shared" si="5"/>
        <v>3464.9808</v>
      </c>
    </row>
    <row r="105" spans="1:7" ns3:dyDescent="0.25">
      <c r="A105" t="s">
        <v>207</v>
      </c>
      <c r="B105">
        <v>671.0</v>
      </c>
      <c r="C105" s="2">
        <v>0.12</v>
      </c>
      <c r="D105">
        <v>50</v>
      </c>
      <c r="E105">
        <f t="shared" si="3"/>
        <v>3509.33</v>
      </c>
      <c r="F105">
        <f t="shared" si="4"/>
        <v>421.1196</v>
      </c>
      <c r="G105" s="3">
        <f t="shared" si="5"/>
        <v>3980.4496</v>
      </c>
    </row>
    <row r="106" spans="1:7" ns3:dyDescent="0.25">
      <c r="A106" t="s">
        <v>208</v>
      </c>
      <c r="B106">
        <v>549.0</v>
      </c>
      <c r="C106" s="2">
        <v>0.12</v>
      </c>
      <c r="D106">
        <v>50</v>
      </c>
      <c r="E106">
        <f t="shared" si="3"/>
        <v>2871.27</v>
      </c>
      <c r="F106">
        <f t="shared" si="4"/>
        <v>344.5524</v>
      </c>
      <c r="G106" s="3">
        <f t="shared" si="5"/>
        <v>3265.8224</v>
      </c>
    </row>
    <row r="107" spans="1:7" ns3:dyDescent="0.25">
      <c r="A107" t="s">
        <v>209</v>
      </c>
      <c r="B107">
        <v>227.0</v>
      </c>
      <c r="C107" s="2">
        <v>0.12</v>
      </c>
      <c r="D107">
        <v>50</v>
      </c>
      <c r="E107">
        <f t="shared" si="3"/>
        <v>1187.21</v>
      </c>
      <c r="F107">
        <f t="shared" si="4"/>
        <v>142.4652</v>
      </c>
      <c r="G107" s="3">
        <f t="shared" si="5"/>
        <v>1379.6752</v>
      </c>
    </row>
    <row r="108" spans="1:7" ns3:dyDescent="0.25">
      <c r="A108" t="s">
        <v>210</v>
      </c>
      <c r="B108">
        <v>893.0</v>
      </c>
      <c r="C108" s="2">
        <v>0.12</v>
      </c>
      <c r="D108">
        <v>50</v>
      </c>
      <c r="E108">
        <f t="shared" si="3"/>
        <v>4670.39</v>
      </c>
      <c r="F108">
        <f t="shared" si="4"/>
        <v>560.4468</v>
      </c>
      <c r="G108" s="3">
        <f t="shared" si="5"/>
        <v>5280.8368</v>
      </c>
    </row>
    <row r="109" spans="1:7" ns3:dyDescent="0.25">
      <c r="A109" t="s">
        <v>211</v>
      </c>
      <c r="B109">
        <v>191.0</v>
      </c>
      <c r="C109" s="2">
        <v>0.12</v>
      </c>
      <c r="D109">
        <v>50</v>
      </c>
      <c r="E109">
        <f t="shared" si="3"/>
        <v>998.93</v>
      </c>
      <c r="F109">
        <f t="shared" si="4"/>
        <v>119.8716</v>
      </c>
      <c r="G109" s="3">
        <f t="shared" si="5"/>
        <v>1168.8016</v>
      </c>
    </row>
    <row r="110" spans="1:7" ns3:dyDescent="0.25">
      <c r="A110" t="s">
        <v>212</v>
      </c>
      <c r="B110">
        <v>51.0</v>
      </c>
      <c r="C110" s="2">
        <v>0.12</v>
      </c>
      <c r="D110">
        <v>50</v>
      </c>
      <c r="E110">
        <f t="shared" si="3"/>
        <v>266.73</v>
      </c>
      <c r="F110">
        <f t="shared" si="4"/>
        <v>32.0076</v>
      </c>
      <c r="G110" s="3">
        <f t="shared" si="5"/>
        <v>348.7376</v>
      </c>
    </row>
    <row r="111" spans="1:7" ns3:dyDescent="0.25">
      <c r="A111" t="s">
        <v>213</v>
      </c>
      <c r="B111">
        <v>169.0</v>
      </c>
      <c r="C111" s="2">
        <v>0.12</v>
      </c>
      <c r="D111">
        <v>50</v>
      </c>
      <c r="E111">
        <f t="shared" si="3"/>
        <v>883.87</v>
      </c>
      <c r="F111">
        <f t="shared" si="4"/>
        <v>106.0644</v>
      </c>
      <c r="G111" s="3">
        <f t="shared" si="5"/>
        <v>1039.9344</v>
      </c>
    </row>
    <row r="112" spans="1:7" ns3:dyDescent="0.25">
      <c r="A112" t="s">
        <v>214</v>
      </c>
      <c r="B112">
        <v>551.0</v>
      </c>
      <c r="C112" s="2">
        <v>0.12</v>
      </c>
      <c r="D112">
        <v>50</v>
      </c>
      <c r="E112">
        <f t="shared" si="3"/>
        <v>2881.73</v>
      </c>
      <c r="F112">
        <f t="shared" si="4"/>
        <v>345.8076</v>
      </c>
      <c r="G112" s="3">
        <f t="shared" si="5"/>
        <v>3277.5376</v>
      </c>
    </row>
    <row r="113" spans="1:7" ns3:dyDescent="0.25">
      <c r="A113" t="s">
        <v>767</v>
      </c>
      <c r="B113">
        <v>277.0</v>
      </c>
      <c r="C113" s="2">
        <v>0.12</v>
      </c>
      <c r="D113">
        <v>50</v>
      </c>
      <c r="E113">
        <f t="shared" si="3"/>
        <v>1448.71</v>
      </c>
      <c r="F113">
        <f t="shared" si="4"/>
        <v>173.8452</v>
      </c>
      <c r="G113" s="3">
        <f t="shared" si="5"/>
        <v>1672.5552</v>
      </c>
    </row>
    <row r="114" spans="1:7" ns3:dyDescent="0.25">
      <c r="A114" t="s">
        <v>768</v>
      </c>
      <c r="B114">
        <v>535.0</v>
      </c>
      <c r="C114" s="2">
        <v>0.12</v>
      </c>
      <c r="D114">
        <v>50</v>
      </c>
      <c r="E114">
        <f t="shared" si="3"/>
        <v>2798.05</v>
      </c>
      <c r="F114">
        <f t="shared" si="4"/>
        <v>335.766</v>
      </c>
      <c r="G114" s="3">
        <f t="shared" si="5"/>
        <v>3183.816</v>
      </c>
    </row>
    <row r="115" spans="1:7" ns3:dyDescent="0.25">
      <c r="A115" t="s">
        <v>624</v>
      </c>
      <c r="B115">
        <v>673.0</v>
      </c>
      <c r="C115" s="2">
        <v>0.12</v>
      </c>
      <c r="D115">
        <v>50</v>
      </c>
      <c r="E115">
        <f t="shared" si="3"/>
        <v>3519.79</v>
      </c>
      <c r="F115">
        <f t="shared" si="4"/>
        <v>422.3748</v>
      </c>
      <c r="G115" s="3">
        <f t="shared" si="5"/>
        <v>3992.1648</v>
      </c>
    </row>
    <row r="116" spans="1:7" ns3:dyDescent="0.25">
      <c r="A116" t="s">
        <v>625</v>
      </c>
      <c r="B116">
        <v>217.0</v>
      </c>
      <c r="C116" s="2">
        <v>0.12</v>
      </c>
      <c r="D116">
        <v>50</v>
      </c>
      <c r="E116">
        <f t="shared" si="3"/>
        <v>1134.91</v>
      </c>
      <c r="F116">
        <f t="shared" si="4"/>
        <v>136.1892</v>
      </c>
      <c r="G116" s="3">
        <f t="shared" si="5"/>
        <v>1321.0992</v>
      </c>
    </row>
    <row r="117" spans="1:7" ns3:dyDescent="0.25">
      <c r="A117" t="s">
        <v>626</v>
      </c>
      <c r="B117">
        <v>931.0</v>
      </c>
      <c r="C117" s="2">
        <v>0.12</v>
      </c>
      <c r="D117">
        <v>50</v>
      </c>
      <c r="E117">
        <f t="shared" si="3"/>
        <v>4869.13</v>
      </c>
      <c r="F117">
        <f t="shared" si="4"/>
        <v>584.2956</v>
      </c>
      <c r="G117" s="3">
        <f t="shared" si="5"/>
        <v>5503.4256</v>
      </c>
    </row>
    <row r="118" spans="1:7" ns3:dyDescent="0.25">
      <c r="A118" t="s">
        <v>627</v>
      </c>
      <c r="B118">
        <v>111.0</v>
      </c>
      <c r="C118" s="2">
        <v>0.12</v>
      </c>
      <c r="D118">
        <v>50</v>
      </c>
      <c r="E118">
        <f t="shared" si="3"/>
        <v>580.53</v>
      </c>
      <c r="F118">
        <f t="shared" si="4"/>
        <v>69.6636</v>
      </c>
      <c r="G118" s="3">
        <f t="shared" si="5"/>
        <v>700.1936</v>
      </c>
    </row>
    <row r="119" spans="1:7" ns3:dyDescent="0.25">
      <c r="A119" t="s">
        <v>516</v>
      </c>
      <c r="B119">
        <v>77.0</v>
      </c>
      <c r="C119" s="2">
        <v>0.12</v>
      </c>
      <c r="D119">
        <v>50</v>
      </c>
      <c r="E119">
        <f t="shared" si="3"/>
        <v>402.71</v>
      </c>
      <c r="F119">
        <f t="shared" si="4"/>
        <v>48.3252</v>
      </c>
      <c r="G119" s="3">
        <f t="shared" si="5"/>
        <v>501.0352</v>
      </c>
    </row>
    <row r="120" spans="1:7" ns3:dyDescent="0.25">
      <c r="A120" t="s">
        <v>215</v>
      </c>
      <c r="B120">
        <v>701.0</v>
      </c>
      <c r="C120" s="2">
        <v>0.12</v>
      </c>
      <c r="D120">
        <v>50</v>
      </c>
      <c r="E120">
        <f t="shared" si="3"/>
        <v>3666.23</v>
      </c>
      <c r="F120">
        <f t="shared" si="4"/>
        <v>439.9476</v>
      </c>
      <c r="G120" s="3">
        <f t="shared" si="5"/>
        <v>4156.1776</v>
      </c>
    </row>
    <row r="121" spans="1:7" ns3:dyDescent="0.25">
      <c r="A121" t="s">
        <v>628</v>
      </c>
      <c r="B121">
        <v>829.0</v>
      </c>
      <c r="C121" s="2">
        <v>0.12</v>
      </c>
      <c r="D121">
        <v>50</v>
      </c>
      <c r="E121">
        <f t="shared" si="3"/>
        <v>4335.67</v>
      </c>
      <c r="F121">
        <f t="shared" si="4"/>
        <v>520.2804</v>
      </c>
      <c r="G121" s="3">
        <f t="shared" si="5"/>
        <v>4905.9504</v>
      </c>
    </row>
    <row r="122" spans="1:7" ns3:dyDescent="0.25">
      <c r="A122" t="s">
        <v>517</v>
      </c>
      <c r="B122">
        <v>919.0</v>
      </c>
      <c r="C122" s="2">
        <v>0.12</v>
      </c>
      <c r="D122">
        <v>50</v>
      </c>
      <c r="E122">
        <f t="shared" si="3"/>
        <v>4806.37</v>
      </c>
      <c r="F122">
        <f t="shared" si="4"/>
        <v>576.7644</v>
      </c>
      <c r="G122" s="3">
        <f t="shared" si="5"/>
        <v>5433.1344</v>
      </c>
    </row>
    <row r="123" spans="1:7" ns3:dyDescent="0.25">
      <c r="A123" t="s">
        <v>518</v>
      </c>
      <c r="B123">
        <v>873.0</v>
      </c>
      <c r="C123" s="2">
        <v>0.12</v>
      </c>
      <c r="D123">
        <v>50</v>
      </c>
      <c r="E123">
        <f t="shared" si="3"/>
        <v>4565.79</v>
      </c>
      <c r="F123">
        <f t="shared" si="4"/>
        <v>547.8948</v>
      </c>
      <c r="G123" s="3">
        <f t="shared" si="5"/>
        <v>5163.6848</v>
      </c>
    </row>
    <row r="124" spans="1:7" ns3:dyDescent="0.25">
      <c r="A124" t="s">
        <v>216</v>
      </c>
      <c r="B124">
        <v>817.0</v>
      </c>
      <c r="C124" s="2">
        <v>0.12</v>
      </c>
      <c r="D124">
        <v>50</v>
      </c>
      <c r="E124">
        <f t="shared" si="3"/>
        <v>4272.91</v>
      </c>
      <c r="F124">
        <f t="shared" si="4"/>
        <v>512.7492</v>
      </c>
      <c r="G124" s="3">
        <f t="shared" si="5"/>
        <v>4835.6592</v>
      </c>
    </row>
    <row r="125" spans="1:7" ns3:dyDescent="0.25">
      <c r="A125" t="s">
        <v>519</v>
      </c>
      <c r="B125">
        <v>729.0</v>
      </c>
      <c r="C125" s="2">
        <v>0.12</v>
      </c>
      <c r="D125">
        <v>50</v>
      </c>
      <c r="E125">
        <f t="shared" si="3"/>
        <v>3812.67</v>
      </c>
      <c r="F125">
        <f t="shared" si="4"/>
        <v>457.5204</v>
      </c>
      <c r="G125" s="3">
        <f t="shared" si="5"/>
        <v>4320.1904</v>
      </c>
    </row>
    <row r="126" spans="1:7" ns3:dyDescent="0.25">
      <c r="A126" t="s">
        <v>629</v>
      </c>
      <c r="B126">
        <v>611.0</v>
      </c>
      <c r="C126" s="2">
        <v>0.12</v>
      </c>
      <c r="D126">
        <v>50</v>
      </c>
      <c r="E126">
        <f t="shared" si="3"/>
        <v>3195.53</v>
      </c>
      <c r="F126">
        <f t="shared" si="4"/>
        <v>383.4636</v>
      </c>
      <c r="G126" s="3">
        <f t="shared" si="5"/>
        <v>3628.9936</v>
      </c>
    </row>
    <row r="127" spans="1:7" ns3:dyDescent="0.25">
      <c r="A127" t="s">
        <v>217</v>
      </c>
      <c r="B127">
        <v>759.0</v>
      </c>
      <c r="C127" s="2">
        <v>0.12</v>
      </c>
      <c r="D127">
        <v>50</v>
      </c>
      <c r="E127">
        <f t="shared" si="3"/>
        <v>3969.57</v>
      </c>
      <c r="F127">
        <f t="shared" si="4"/>
        <v>476.3484</v>
      </c>
      <c r="G127" s="3">
        <f t="shared" si="5"/>
        <v>4495.9184</v>
      </c>
    </row>
    <row r="128" spans="1:7" ns3:dyDescent="0.25">
      <c r="A128" t="s">
        <v>769</v>
      </c>
      <c r="B128">
        <v>465.0</v>
      </c>
      <c r="C128" s="2">
        <v>0.12</v>
      </c>
      <c r="D128">
        <v>50</v>
      </c>
      <c r="E128">
        <f t="shared" si="3"/>
        <v>2431.95</v>
      </c>
      <c r="F128">
        <f t="shared" si="4"/>
        <v>291.834</v>
      </c>
      <c r="G128" s="3">
        <f t="shared" si="5"/>
        <v>2773.784</v>
      </c>
    </row>
    <row r="129" spans="1:7" ns3:dyDescent="0.25">
      <c r="A129" t="s">
        <v>770</v>
      </c>
      <c r="B129">
        <v>71.0</v>
      </c>
      <c r="C129" s="2">
        <v>0.12</v>
      </c>
      <c r="D129">
        <v>50</v>
      </c>
      <c r="E129">
        <f t="shared" si="3"/>
        <v>371.33</v>
      </c>
      <c r="F129">
        <f t="shared" si="4"/>
        <v>44.5596</v>
      </c>
      <c r="G129" s="3">
        <f t="shared" si="5"/>
        <v>465.8896</v>
      </c>
    </row>
    <row r="130" spans="1:7" ns3:dyDescent="0.25">
      <c r="A130" t="s">
        <v>520</v>
      </c>
      <c r="B130">
        <v>875.0</v>
      </c>
      <c r="C130" s="2">
        <v>0.12</v>
      </c>
      <c r="D130">
        <v>50</v>
      </c>
      <c r="E130">
        <f t="shared" si="3"/>
        <v>4576.25</v>
      </c>
      <c r="F130">
        <f t="shared" si="4"/>
        <v>549.15</v>
      </c>
      <c r="G130" s="3">
        <f t="shared" si="5"/>
        <v>5175.4</v>
      </c>
    </row>
    <row r="131" spans="1:7" ns3:dyDescent="0.25">
      <c r="A131" t="s">
        <v>878</v>
      </c>
      <c r="B131">
        <v>495.0</v>
      </c>
      <c r="C131" s="2">
        <v>0.12</v>
      </c>
      <c r="D131">
        <v>50</v>
      </c>
      <c r="E131">
        <f t="shared" ref="E131:E194" si="6">5.23*B131</f>
        <v>2588.85</v>
      </c>
      <c r="F131">
        <f t="shared" ref="F131:F194" si="7">E131*C131</f>
        <v>310.662</v>
      </c>
      <c r="G131" s="3">
        <f t="shared" ref="G131:G194" si="8">F131+E131+D131</f>
        <v>2949.512</v>
      </c>
    </row>
    <row r="132" spans="1:7" ns3:dyDescent="0.25">
      <c r="A132" t="s">
        <v>660</v>
      </c>
      <c r="B132">
        <v>825.0</v>
      </c>
      <c r="C132" s="2">
        <v>0.12</v>
      </c>
      <c r="D132">
        <v>50</v>
      </c>
      <c r="E132">
        <f t="shared" si="6"/>
        <v>4314.75</v>
      </c>
      <c r="F132">
        <f t="shared" si="7"/>
        <v>517.77</v>
      </c>
      <c r="G132" s="3">
        <f t="shared" si="8"/>
        <v>4882.52</v>
      </c>
    </row>
    <row r="133" spans="1:7" ns3:dyDescent="0.25">
      <c r="A133" t="s">
        <v>218</v>
      </c>
      <c r="B133">
        <v>847.0</v>
      </c>
      <c r="C133" s="2">
        <v>0.12</v>
      </c>
      <c r="D133">
        <v>50</v>
      </c>
      <c r="E133">
        <f t="shared" si="6"/>
        <v>4429.81</v>
      </c>
      <c r="F133">
        <f t="shared" si="7"/>
        <v>531.5772</v>
      </c>
      <c r="G133" s="3">
        <f t="shared" si="8"/>
        <v>5011.3872</v>
      </c>
    </row>
    <row r="134" spans="1:7" ns3:dyDescent="0.25">
      <c r="A134" t="s">
        <v>219</v>
      </c>
      <c r="B134">
        <v>539.0</v>
      </c>
      <c r="C134" s="2">
        <v>0.12</v>
      </c>
      <c r="D134">
        <v>50</v>
      </c>
      <c r="E134">
        <f t="shared" si="6"/>
        <v>2818.97</v>
      </c>
      <c r="F134">
        <f t="shared" si="7"/>
        <v>338.2764</v>
      </c>
      <c r="G134" s="3">
        <f t="shared" si="8"/>
        <v>3207.2464</v>
      </c>
    </row>
    <row r="135" spans="1:7" ns3:dyDescent="0.25">
      <c r="A135" t="s">
        <v>661</v>
      </c>
      <c r="B135">
        <v>99.0</v>
      </c>
      <c r="C135" s="2">
        <v>0.12</v>
      </c>
      <c r="D135">
        <v>50</v>
      </c>
      <c r="E135">
        <f t="shared" si="6"/>
        <v>517.77</v>
      </c>
      <c r="F135">
        <f t="shared" si="7"/>
        <v>62.1324</v>
      </c>
      <c r="G135" s="3">
        <f t="shared" si="8"/>
        <v>629.9024</v>
      </c>
    </row>
    <row r="136" spans="1:7" ns3:dyDescent="0.25">
      <c r="A136" t="s">
        <v>630</v>
      </c>
      <c r="B136">
        <v>427.0</v>
      </c>
      <c r="C136" s="2">
        <v>0.12</v>
      </c>
      <c r="D136">
        <v>50</v>
      </c>
      <c r="E136">
        <f t="shared" si="6"/>
        <v>2233.21</v>
      </c>
      <c r="F136">
        <f t="shared" si="7"/>
        <v>267.9852</v>
      </c>
      <c r="G136" s="3">
        <f t="shared" si="8"/>
        <v>2551.1952</v>
      </c>
    </row>
    <row r="137" spans="1:7" ns3:dyDescent="0.25">
      <c r="A137" t="s">
        <v>220</v>
      </c>
      <c r="B137">
        <v>943.0</v>
      </c>
      <c r="C137" s="2">
        <v>0.12</v>
      </c>
      <c r="D137">
        <v>50</v>
      </c>
      <c r="E137">
        <f t="shared" si="6"/>
        <v>4931.89</v>
      </c>
      <c r="F137">
        <f t="shared" si="7"/>
        <v>591.8268</v>
      </c>
      <c r="G137" s="3">
        <f t="shared" si="8"/>
        <v>5573.7168</v>
      </c>
    </row>
    <row r="138" spans="1:7" ns3:dyDescent="0.25">
      <c r="A138" t="s">
        <v>221</v>
      </c>
      <c r="B138">
        <v>669.0</v>
      </c>
      <c r="C138" s="2">
        <v>0.12</v>
      </c>
      <c r="D138">
        <v>50</v>
      </c>
      <c r="E138">
        <f t="shared" si="6"/>
        <v>3498.87</v>
      </c>
      <c r="F138">
        <f t="shared" si="7"/>
        <v>419.8644</v>
      </c>
      <c r="G138" s="3">
        <f t="shared" si="8"/>
        <v>3968.7344</v>
      </c>
    </row>
    <row r="139" spans="1:7" ns3:dyDescent="0.25">
      <c r="A139" t="s">
        <v>222</v>
      </c>
      <c r="B139">
        <v>775.0</v>
      </c>
      <c r="C139" s="2">
        <v>0.12</v>
      </c>
      <c r="D139">
        <v>50</v>
      </c>
      <c r="E139">
        <f t="shared" si="6"/>
        <v>4053.25</v>
      </c>
      <c r="F139">
        <f t="shared" si="7"/>
        <v>486.39</v>
      </c>
      <c r="G139" s="3">
        <f t="shared" si="8"/>
        <v>4589.64</v>
      </c>
    </row>
    <row r="140" spans="1:7" ns3:dyDescent="0.25">
      <c r="A140" t="s">
        <v>223</v>
      </c>
      <c r="B140">
        <v>135.0</v>
      </c>
      <c r="C140" s="2">
        <v>0.12</v>
      </c>
      <c r="D140">
        <v>50</v>
      </c>
      <c r="E140">
        <f t="shared" si="6"/>
        <v>706.05</v>
      </c>
      <c r="F140">
        <f t="shared" si="7"/>
        <v>84.726</v>
      </c>
      <c r="G140" s="3">
        <f t="shared" si="8"/>
        <v>840.776</v>
      </c>
    </row>
    <row r="141" spans="1:7" ns3:dyDescent="0.25">
      <c r="A141" t="s">
        <v>521</v>
      </c>
      <c r="B141">
        <v>393.0</v>
      </c>
      <c r="C141" s="2">
        <v>0.12</v>
      </c>
      <c r="D141">
        <v>50</v>
      </c>
      <c r="E141">
        <f t="shared" si="6"/>
        <v>2055.39</v>
      </c>
      <c r="F141">
        <f t="shared" si="7"/>
        <v>246.6468</v>
      </c>
      <c r="G141" s="3">
        <f t="shared" si="8"/>
        <v>2352.0368</v>
      </c>
    </row>
    <row r="142" spans="1:7" ns3:dyDescent="0.25">
      <c r="A142" t="s">
        <v>522</v>
      </c>
      <c r="B142">
        <v>775.0</v>
      </c>
      <c r="C142" s="2">
        <v>0.12</v>
      </c>
      <c r="D142">
        <v>50</v>
      </c>
      <c r="E142">
        <f t="shared" si="6"/>
        <v>4053.25</v>
      </c>
      <c r="F142">
        <f t="shared" si="7"/>
        <v>486.39</v>
      </c>
      <c r="G142" s="3">
        <f t="shared" si="8"/>
        <v>4589.64</v>
      </c>
    </row>
    <row r="143" spans="1:7" ns3:dyDescent="0.25">
      <c r="A143" t="s">
        <v>523</v>
      </c>
      <c r="B143">
        <v>713.0</v>
      </c>
      <c r="C143" s="2">
        <v>0.12</v>
      </c>
      <c r="D143">
        <v>50</v>
      </c>
      <c r="E143">
        <f t="shared" si="6"/>
        <v>3728.99</v>
      </c>
      <c r="F143">
        <f t="shared" si="7"/>
        <v>447.4788</v>
      </c>
      <c r="G143" s="3">
        <f t="shared" si="8"/>
        <v>4226.4688</v>
      </c>
    </row>
    <row r="144" spans="1:7" ns3:dyDescent="0.25">
      <c r="A144" t="s">
        <v>524</v>
      </c>
      <c r="B144">
        <v>771.0</v>
      </c>
      <c r="C144" s="2">
        <v>0.12</v>
      </c>
      <c r="D144">
        <v>50</v>
      </c>
      <c r="E144">
        <f t="shared" si="6"/>
        <v>4032.33</v>
      </c>
      <c r="F144">
        <f t="shared" si="7"/>
        <v>483.8796</v>
      </c>
      <c r="G144" s="3">
        <f t="shared" si="8"/>
        <v>4566.2096</v>
      </c>
    </row>
    <row r="145" spans="1:7" ns3:dyDescent="0.25">
      <c r="A145" t="s">
        <v>525</v>
      </c>
      <c r="B145">
        <v>127.0</v>
      </c>
      <c r="C145" s="2">
        <v>0.12</v>
      </c>
      <c r="D145">
        <v>50</v>
      </c>
      <c r="E145">
        <f t="shared" si="6"/>
        <v>664.21</v>
      </c>
      <c r="F145">
        <f t="shared" si="7"/>
        <v>79.7052</v>
      </c>
      <c r="G145" s="3">
        <f t="shared" si="8"/>
        <v>793.9152</v>
      </c>
    </row>
    <row r="146" spans="1:7" ns3:dyDescent="0.25">
      <c r="A146" t="s">
        <v>526</v>
      </c>
      <c r="B146">
        <v>661.0</v>
      </c>
      <c r="C146" s="2">
        <v>0.12</v>
      </c>
      <c r="D146">
        <v>50</v>
      </c>
      <c r="E146">
        <f t="shared" si="6"/>
        <v>3457.03</v>
      </c>
      <c r="F146">
        <f t="shared" si="7"/>
        <v>414.8436</v>
      </c>
      <c r="G146" s="3">
        <f t="shared" si="8"/>
        <v>3921.8736</v>
      </c>
    </row>
    <row r="147" spans="1:7" ns3:dyDescent="0.25">
      <c r="A147" t="s">
        <v>527</v>
      </c>
      <c r="B147">
        <v>59.0</v>
      </c>
      <c r="C147" s="2">
        <v>0.12</v>
      </c>
      <c r="D147">
        <v>50</v>
      </c>
      <c r="E147">
        <f t="shared" si="6"/>
        <v>308.57</v>
      </c>
      <c r="F147">
        <f t="shared" si="7"/>
        <v>37.0284</v>
      </c>
      <c r="G147" s="3">
        <f t="shared" si="8"/>
        <v>395.5984</v>
      </c>
    </row>
    <row r="148" spans="1:7" ns3:dyDescent="0.25">
      <c r="A148" t="s">
        <v>528</v>
      </c>
      <c r="B148">
        <v>187.0</v>
      </c>
      <c r="C148" s="2">
        <v>0.12</v>
      </c>
      <c r="D148">
        <v>50</v>
      </c>
      <c r="E148">
        <f t="shared" si="6"/>
        <v>978.01</v>
      </c>
      <c r="F148">
        <f t="shared" si="7"/>
        <v>117.3612</v>
      </c>
      <c r="G148" s="3">
        <f t="shared" si="8"/>
        <v>1145.3712</v>
      </c>
    </row>
    <row r="149" spans="1:7" ns3:dyDescent="0.25">
      <c r="A149" t="s">
        <v>224</v>
      </c>
      <c r="B149">
        <v>133.0</v>
      </c>
      <c r="C149" s="2">
        <v>0.12</v>
      </c>
      <c r="D149">
        <v>50</v>
      </c>
      <c r="E149">
        <f t="shared" si="6"/>
        <v>695.59</v>
      </c>
      <c r="F149">
        <f t="shared" si="7"/>
        <v>83.4708</v>
      </c>
      <c r="G149" s="3">
        <f t="shared" si="8"/>
        <v>829.0608</v>
      </c>
    </row>
    <row r="150" spans="1:7" ns3:dyDescent="0.25">
      <c r="A150" t="s">
        <v>529</v>
      </c>
      <c r="B150">
        <v>539.0</v>
      </c>
      <c r="C150" s="2">
        <v>0.12</v>
      </c>
      <c r="D150">
        <v>50</v>
      </c>
      <c r="E150">
        <f t="shared" si="6"/>
        <v>2818.97</v>
      </c>
      <c r="F150">
        <f t="shared" si="7"/>
        <v>338.2764</v>
      </c>
      <c r="G150" s="3">
        <f t="shared" si="8"/>
        <v>3207.2464</v>
      </c>
    </row>
    <row r="151" spans="1:7" ns3:dyDescent="0.25">
      <c r="A151" t="s">
        <v>530</v>
      </c>
      <c r="B151">
        <v>737.0</v>
      </c>
      <c r="C151" s="2">
        <v>0.12</v>
      </c>
      <c r="D151">
        <v>50</v>
      </c>
      <c r="E151">
        <f t="shared" si="6"/>
        <v>3854.51</v>
      </c>
      <c r="F151">
        <f t="shared" si="7"/>
        <v>462.5412</v>
      </c>
      <c r="G151" s="3">
        <f t="shared" si="8"/>
        <v>4367.0512</v>
      </c>
    </row>
    <row r="152" spans="1:7" ns3:dyDescent="0.25">
      <c r="A152" t="s">
        <v>531</v>
      </c>
      <c r="B152">
        <v>219.0</v>
      </c>
      <c r="C152" s="2">
        <v>0.12</v>
      </c>
      <c r="D152">
        <v>50</v>
      </c>
      <c r="E152">
        <f t="shared" si="6"/>
        <v>1145.37</v>
      </c>
      <c r="F152">
        <f t="shared" si="7"/>
        <v>137.4444</v>
      </c>
      <c r="G152" s="3">
        <f t="shared" si="8"/>
        <v>1332.8144</v>
      </c>
    </row>
    <row r="153" spans="1:7" ns3:dyDescent="0.25">
      <c r="A153" t="s">
        <v>225</v>
      </c>
      <c r="B153">
        <v>493.0</v>
      </c>
      <c r="C153" s="2">
        <v>0.12</v>
      </c>
      <c r="D153">
        <v>50</v>
      </c>
      <c r="E153">
        <f t="shared" si="6"/>
        <v>2578.39</v>
      </c>
      <c r="F153">
        <f t="shared" si="7"/>
        <v>309.4068</v>
      </c>
      <c r="G153" s="3">
        <f t="shared" si="8"/>
        <v>2937.7968</v>
      </c>
    </row>
    <row r="154" spans="1:7" ns3:dyDescent="0.25">
      <c r="A154" t="s">
        <v>532</v>
      </c>
      <c r="B154">
        <v>83.0</v>
      </c>
      <c r="C154" s="2">
        <v>0.12</v>
      </c>
      <c r="D154">
        <v>50</v>
      </c>
      <c r="E154">
        <f t="shared" si="6"/>
        <v>434.09</v>
      </c>
      <c r="F154">
        <f t="shared" si="7"/>
        <v>52.0908</v>
      </c>
      <c r="G154" s="3">
        <f t="shared" si="8"/>
        <v>536.1808</v>
      </c>
    </row>
    <row r="155" spans="1:7" ns3:dyDescent="0.25">
      <c r="A155" t="s">
        <v>533</v>
      </c>
      <c r="B155">
        <v>151.0</v>
      </c>
      <c r="C155" s="2">
        <v>0.12</v>
      </c>
      <c r="D155">
        <v>50</v>
      </c>
      <c r="E155">
        <f t="shared" si="6"/>
        <v>789.73</v>
      </c>
      <c r="F155">
        <f t="shared" si="7"/>
        <v>94.7676</v>
      </c>
      <c r="G155" s="3">
        <f t="shared" si="8"/>
        <v>934.4976</v>
      </c>
    </row>
    <row r="156" spans="1:7" ns3:dyDescent="0.25">
      <c r="A156" t="s">
        <v>534</v>
      </c>
      <c r="B156">
        <v>209.0</v>
      </c>
      <c r="C156" s="2">
        <v>0.12</v>
      </c>
      <c r="D156">
        <v>50</v>
      </c>
      <c r="E156">
        <f t="shared" si="6"/>
        <v>1093.07</v>
      </c>
      <c r="F156">
        <f t="shared" si="7"/>
        <v>131.1684</v>
      </c>
      <c r="G156" s="3">
        <f t="shared" si="8"/>
        <v>1274.2384</v>
      </c>
    </row>
    <row r="157" spans="1:7" ns3:dyDescent="0.25">
      <c r="A157" t="s">
        <v>879</v>
      </c>
      <c r="B157">
        <v>517.0</v>
      </c>
      <c r="C157" s="2">
        <v>0.12</v>
      </c>
      <c r="D157">
        <v>50</v>
      </c>
      <c r="E157">
        <f t="shared" si="6"/>
        <v>2703.91</v>
      </c>
      <c r="F157">
        <f t="shared" si="7"/>
        <v>324.4692</v>
      </c>
      <c r="G157" s="3">
        <f t="shared" si="8"/>
        <v>3078.3792</v>
      </c>
    </row>
    <row r="158" spans="1:7" ns3:dyDescent="0.25">
      <c r="A158" t="s">
        <v>535</v>
      </c>
      <c r="B158">
        <v>551.0</v>
      </c>
      <c r="C158" s="2">
        <v>0.12</v>
      </c>
      <c r="D158">
        <v>50</v>
      </c>
      <c r="E158">
        <f t="shared" si="6"/>
        <v>2881.73</v>
      </c>
      <c r="F158">
        <f t="shared" si="7"/>
        <v>345.8076</v>
      </c>
      <c r="G158" s="3">
        <f t="shared" si="8"/>
        <v>3277.5376</v>
      </c>
    </row>
    <row r="159" spans="1:7" ns3:dyDescent="0.25">
      <c r="A159" t="s">
        <v>536</v>
      </c>
      <c r="B159">
        <v>643.0</v>
      </c>
      <c r="C159" s="2">
        <v>0.12</v>
      </c>
      <c r="D159">
        <v>50</v>
      </c>
      <c r="E159">
        <f t="shared" si="6"/>
        <v>3362.89</v>
      </c>
      <c r="F159">
        <f t="shared" si="7"/>
        <v>403.5468</v>
      </c>
      <c r="G159" s="3">
        <f t="shared" si="8"/>
        <v>3816.4368</v>
      </c>
    </row>
    <row r="160" spans="1:7" ns3:dyDescent="0.25">
      <c r="A160" t="s">
        <v>700</v>
      </c>
      <c r="B160">
        <v>941.0</v>
      </c>
      <c r="C160" s="2">
        <v>0.12</v>
      </c>
      <c r="D160">
        <v>50</v>
      </c>
      <c r="E160">
        <f t="shared" si="6"/>
        <v>4921.43</v>
      </c>
      <c r="F160">
        <f t="shared" si="7"/>
        <v>590.5716</v>
      </c>
      <c r="G160" s="3">
        <f t="shared" si="8"/>
        <v>5562.0016</v>
      </c>
    </row>
    <row r="161" spans="1:7" ns3:dyDescent="0.25">
      <c r="A161" t="s">
        <v>537</v>
      </c>
      <c r="B161">
        <v>949.0</v>
      </c>
      <c r="C161" s="2">
        <v>0.12</v>
      </c>
      <c r="D161">
        <v>50</v>
      </c>
      <c r="E161">
        <f t="shared" si="6"/>
        <v>4963.27</v>
      </c>
      <c r="F161">
        <f t="shared" si="7"/>
        <v>595.5924</v>
      </c>
      <c r="G161" s="3">
        <f t="shared" si="8"/>
        <v>5608.8624</v>
      </c>
    </row>
    <row r="162" spans="1:7" ns3:dyDescent="0.25">
      <c r="A162" t="s">
        <v>701</v>
      </c>
      <c r="B162">
        <v>99.0</v>
      </c>
      <c r="C162" s="2">
        <v>0.12</v>
      </c>
      <c r="D162">
        <v>50</v>
      </c>
      <c r="E162">
        <f t="shared" si="6"/>
        <v>517.77</v>
      </c>
      <c r="F162">
        <f t="shared" si="7"/>
        <v>62.1324</v>
      </c>
      <c r="G162" s="3">
        <f t="shared" si="8"/>
        <v>629.9024</v>
      </c>
    </row>
    <row r="163" spans="1:7" ns3:dyDescent="0.25">
      <c r="A163" t="s">
        <v>226</v>
      </c>
      <c r="B163">
        <v>879.0</v>
      </c>
      <c r="C163" s="2">
        <v>0.12</v>
      </c>
      <c r="D163">
        <v>50</v>
      </c>
      <c r="E163">
        <f t="shared" si="6"/>
        <v>4597.17</v>
      </c>
      <c r="F163">
        <f t="shared" si="7"/>
        <v>551.6604</v>
      </c>
      <c r="G163" s="3">
        <f t="shared" si="8"/>
        <v>5198.8304</v>
      </c>
    </row>
    <row r="164" spans="1:7" ns3:dyDescent="0.25">
      <c r="A164" t="s">
        <v>702</v>
      </c>
      <c r="B164">
        <v>677.0</v>
      </c>
      <c r="C164" s="2">
        <v>0.12</v>
      </c>
      <c r="D164">
        <v>50</v>
      </c>
      <c r="E164">
        <f t="shared" si="6"/>
        <v>3540.71</v>
      </c>
      <c r="F164">
        <f t="shared" si="7"/>
        <v>424.8852</v>
      </c>
      <c r="G164" s="3">
        <f t="shared" si="8"/>
        <v>4015.5952</v>
      </c>
    </row>
    <row r="165" spans="1:7" ns3:dyDescent="0.25">
      <c r="A165" t="s">
        <v>227</v>
      </c>
      <c r="B165">
        <v>851.0</v>
      </c>
      <c r="C165" s="2">
        <v>0.12</v>
      </c>
      <c r="D165">
        <v>50</v>
      </c>
      <c r="E165">
        <f t="shared" si="6"/>
        <v>4450.73</v>
      </c>
      <c r="F165">
        <f t="shared" si="7"/>
        <v>534.0876</v>
      </c>
      <c r="G165" s="3">
        <f t="shared" si="8"/>
        <v>5034.8176</v>
      </c>
    </row>
    <row r="166" spans="1:7" ns3:dyDescent="0.25">
      <c r="A166" t="s">
        <v>703</v>
      </c>
      <c r="B166">
        <v>603.0</v>
      </c>
      <c r="C166" s="2">
        <v>0.12</v>
      </c>
      <c r="D166">
        <v>50</v>
      </c>
      <c r="E166">
        <f t="shared" si="6"/>
        <v>3153.69</v>
      </c>
      <c r="F166">
        <f t="shared" si="7"/>
        <v>378.4428</v>
      </c>
      <c r="G166" s="3">
        <f t="shared" si="8"/>
        <v>3582.1328</v>
      </c>
    </row>
    <row r="167" spans="1:7" ns3:dyDescent="0.25">
      <c r="A167" t="s">
        <v>704</v>
      </c>
      <c r="B167">
        <v>675.0</v>
      </c>
      <c r="C167" s="2">
        <v>0.12</v>
      </c>
      <c r="D167">
        <v>50</v>
      </c>
      <c r="E167">
        <f t="shared" si="6"/>
        <v>3530.25</v>
      </c>
      <c r="F167">
        <f t="shared" si="7"/>
        <v>423.63</v>
      </c>
      <c r="G167" s="3">
        <f t="shared" si="8"/>
        <v>4003.88</v>
      </c>
    </row>
    <row r="168" spans="1:7" ns3:dyDescent="0.25">
      <c r="A168" t="s">
        <v>538</v>
      </c>
      <c r="B168">
        <v>233.0</v>
      </c>
      <c r="C168" s="2">
        <v>0.12</v>
      </c>
      <c r="D168">
        <v>50</v>
      </c>
      <c r="E168">
        <f t="shared" si="6"/>
        <v>1218.59</v>
      </c>
      <c r="F168">
        <f t="shared" si="7"/>
        <v>146.2308</v>
      </c>
      <c r="G168" s="3">
        <f t="shared" si="8"/>
        <v>1414.8208</v>
      </c>
    </row>
    <row r="169" spans="1:7" ns3:dyDescent="0.25">
      <c r="A169" t="s">
        <v>539</v>
      </c>
      <c r="B169">
        <v>941.0</v>
      </c>
      <c r="C169" s="2">
        <v>0.12</v>
      </c>
      <c r="D169">
        <v>50</v>
      </c>
      <c r="E169">
        <f t="shared" si="6"/>
        <v>4921.43</v>
      </c>
      <c r="F169">
        <f t="shared" si="7"/>
        <v>590.5716</v>
      </c>
      <c r="G169" s="3">
        <f t="shared" si="8"/>
        <v>5562.0016</v>
      </c>
    </row>
    <row r="170" spans="1:7" ns3:dyDescent="0.25">
      <c r="A170" t="s">
        <v>228</v>
      </c>
      <c r="B170">
        <v>495.0</v>
      </c>
      <c r="C170" s="2">
        <v>0.12</v>
      </c>
      <c r="D170">
        <v>50</v>
      </c>
      <c r="E170">
        <f t="shared" si="6"/>
        <v>2588.85</v>
      </c>
      <c r="F170">
        <f t="shared" si="7"/>
        <v>310.662</v>
      </c>
      <c r="G170" s="3">
        <f t="shared" si="8"/>
        <v>2949.512</v>
      </c>
    </row>
    <row r="171" spans="1:7" ns3:dyDescent="0.25">
      <c r="A171" t="s">
        <v>540</v>
      </c>
      <c r="B171">
        <v>99.0</v>
      </c>
      <c r="C171" s="2">
        <v>0.12</v>
      </c>
      <c r="D171">
        <v>50</v>
      </c>
      <c r="E171">
        <f t="shared" si="6"/>
        <v>517.77</v>
      </c>
      <c r="F171">
        <f t="shared" si="7"/>
        <v>62.1324</v>
      </c>
      <c r="G171" s="3">
        <f t="shared" si="8"/>
        <v>629.9024</v>
      </c>
    </row>
    <row r="172" spans="1:7" ns3:dyDescent="0.25">
      <c r="A172" t="s">
        <v>229</v>
      </c>
      <c r="B172">
        <v>285.0</v>
      </c>
      <c r="C172" s="2">
        <v>0.12</v>
      </c>
      <c r="D172">
        <v>50</v>
      </c>
      <c r="E172">
        <f t="shared" si="6"/>
        <v>1490.55</v>
      </c>
      <c r="F172">
        <f t="shared" si="7"/>
        <v>178.866</v>
      </c>
      <c r="G172" s="3">
        <f t="shared" si="8"/>
        <v>1719.416</v>
      </c>
    </row>
    <row r="173" spans="1:7" ns3:dyDescent="0.25">
      <c r="A173" t="s">
        <v>880</v>
      </c>
      <c r="B173">
        <v>697.0</v>
      </c>
      <c r="C173" s="2">
        <v>0.12</v>
      </c>
      <c r="D173">
        <v>50</v>
      </c>
      <c r="E173">
        <f t="shared" si="6"/>
        <v>3645.31</v>
      </c>
      <c r="F173">
        <f t="shared" si="7"/>
        <v>437.4372</v>
      </c>
      <c r="G173" s="3">
        <f t="shared" si="8"/>
        <v>4132.7472</v>
      </c>
    </row>
    <row r="174" spans="1:7" ns3:dyDescent="0.25">
      <c r="A174" t="s">
        <v>541</v>
      </c>
      <c r="B174">
        <v>317.0</v>
      </c>
      <c r="C174" s="2">
        <v>0.12</v>
      </c>
      <c r="D174">
        <v>50</v>
      </c>
      <c r="E174">
        <f t="shared" si="6"/>
        <v>1657.91</v>
      </c>
      <c r="F174">
        <f t="shared" si="7"/>
        <v>198.9492</v>
      </c>
      <c r="G174" s="3">
        <f t="shared" si="8"/>
        <v>1906.8592</v>
      </c>
    </row>
    <row r="175" spans="1:7" ns3:dyDescent="0.25">
      <c r="A175" t="s">
        <v>542</v>
      </c>
      <c r="B175">
        <v>459.0</v>
      </c>
      <c r="C175" s="2">
        <v>0.12</v>
      </c>
      <c r="D175">
        <v>50</v>
      </c>
      <c r="E175">
        <f t="shared" si="6"/>
        <v>2400.57</v>
      </c>
      <c r="F175">
        <f t="shared" si="7"/>
        <v>288.0684</v>
      </c>
      <c r="G175" s="3">
        <f t="shared" si="8"/>
        <v>2738.6384</v>
      </c>
    </row>
    <row r="176" spans="1:7" ns3:dyDescent="0.25">
      <c r="A176" t="s">
        <v>543</v>
      </c>
      <c r="B176">
        <v>197.0</v>
      </c>
      <c r="C176" s="2">
        <v>0.12</v>
      </c>
      <c r="D176">
        <v>50</v>
      </c>
      <c r="E176">
        <f t="shared" si="6"/>
        <v>1030.31</v>
      </c>
      <c r="F176">
        <f t="shared" si="7"/>
        <v>123.6372</v>
      </c>
      <c r="G176" s="3">
        <f t="shared" si="8"/>
        <v>1203.9472</v>
      </c>
    </row>
    <row r="177" spans="1:7" ns3:dyDescent="0.25">
      <c r="A177" t="s">
        <v>544</v>
      </c>
      <c r="B177">
        <v>193.0</v>
      </c>
      <c r="C177" s="2">
        <v>0.12</v>
      </c>
      <c r="D177">
        <v>50</v>
      </c>
      <c r="E177">
        <f t="shared" si="6"/>
        <v>1009.39</v>
      </c>
      <c r="F177">
        <f t="shared" si="7"/>
        <v>121.1268</v>
      </c>
      <c r="G177" s="3">
        <f t="shared" si="8"/>
        <v>1180.5168</v>
      </c>
    </row>
    <row r="178" spans="1:7" ns3:dyDescent="0.25">
      <c r="A178" t="s">
        <v>545</v>
      </c>
      <c r="B178">
        <v>907.0</v>
      </c>
      <c r="C178" s="2">
        <v>0.12</v>
      </c>
      <c r="D178">
        <v>50</v>
      </c>
      <c r="E178">
        <f t="shared" si="6"/>
        <v>4743.61</v>
      </c>
      <c r="F178">
        <f t="shared" si="7"/>
        <v>569.2332</v>
      </c>
      <c r="G178" s="3">
        <f t="shared" si="8"/>
        <v>5362.8432</v>
      </c>
    </row>
    <row r="179" spans="1:7" ns3:dyDescent="0.25">
      <c r="A179" t="s">
        <v>230</v>
      </c>
      <c r="B179">
        <v>929.0</v>
      </c>
      <c r="C179" s="2">
        <v>0.12</v>
      </c>
      <c r="D179">
        <v>50</v>
      </c>
      <c r="E179">
        <f t="shared" si="6"/>
        <v>4858.67</v>
      </c>
      <c r="F179">
        <f t="shared" si="7"/>
        <v>583.0404</v>
      </c>
      <c r="G179" s="3">
        <f t="shared" si="8"/>
        <v>5491.7104</v>
      </c>
    </row>
    <row r="180" spans="1:7" ns3:dyDescent="0.25">
      <c r="A180" t="s">
        <v>771</v>
      </c>
      <c r="B180">
        <v>525.0</v>
      </c>
      <c r="C180" s="2">
        <v>0.12</v>
      </c>
      <c r="D180">
        <v>50</v>
      </c>
      <c r="E180">
        <f t="shared" si="6"/>
        <v>2745.75</v>
      </c>
      <c r="F180">
        <f t="shared" si="7"/>
        <v>329.49</v>
      </c>
      <c r="G180" s="3">
        <f t="shared" si="8"/>
        <v>3125.24</v>
      </c>
    </row>
    <row r="181" spans="1:7" ns3:dyDescent="0.25">
      <c r="A181" t="s">
        <v>881</v>
      </c>
      <c r="B181">
        <v>65.0</v>
      </c>
      <c r="C181" s="2">
        <v>0.12</v>
      </c>
      <c r="D181">
        <v>50</v>
      </c>
      <c r="E181">
        <f t="shared" si="6"/>
        <v>339.95</v>
      </c>
      <c r="F181">
        <f t="shared" si="7"/>
        <v>40.794</v>
      </c>
      <c r="G181" s="3">
        <f t="shared" si="8"/>
        <v>430.744</v>
      </c>
    </row>
    <row r="182" spans="1:7" ns3:dyDescent="0.25">
      <c r="A182" t="s">
        <v>231</v>
      </c>
      <c r="B182">
        <v>339.0</v>
      </c>
      <c r="C182" s="2">
        <v>0.12</v>
      </c>
      <c r="D182">
        <v>50</v>
      </c>
      <c r="E182">
        <f t="shared" si="6"/>
        <v>1772.97</v>
      </c>
      <c r="F182">
        <f t="shared" si="7"/>
        <v>212.7564</v>
      </c>
      <c r="G182" s="3">
        <f t="shared" si="8"/>
        <v>2035.7264</v>
      </c>
    </row>
    <row r="183" spans="1:7" ns3:dyDescent="0.25">
      <c r="A183" t="s">
        <v>546</v>
      </c>
      <c r="B183">
        <v>133.0</v>
      </c>
      <c r="C183" s="2">
        <v>0.12</v>
      </c>
      <c r="D183">
        <v>50</v>
      </c>
      <c r="E183">
        <f t="shared" si="6"/>
        <v>695.59</v>
      </c>
      <c r="F183">
        <f t="shared" si="7"/>
        <v>83.4708</v>
      </c>
      <c r="G183" s="3">
        <f t="shared" si="8"/>
        <v>829.0608</v>
      </c>
    </row>
    <row r="184" spans="1:7" ns3:dyDescent="0.25">
      <c r="A184" t="s">
        <v>232</v>
      </c>
      <c r="B184">
        <v>671.0</v>
      </c>
      <c r="C184" s="2">
        <v>0.12</v>
      </c>
      <c r="D184">
        <v>50</v>
      </c>
      <c r="E184">
        <f t="shared" si="6"/>
        <v>3509.33</v>
      </c>
      <c r="F184">
        <f t="shared" si="7"/>
        <v>421.1196</v>
      </c>
      <c r="G184" s="3">
        <f t="shared" si="8"/>
        <v>3980.4496</v>
      </c>
    </row>
    <row r="185" spans="1:7" ns3:dyDescent="0.25">
      <c r="A185" t="s">
        <v>547</v>
      </c>
      <c r="B185">
        <v>375.0</v>
      </c>
      <c r="C185" s="2">
        <v>0.12</v>
      </c>
      <c r="D185">
        <v>50</v>
      </c>
      <c r="E185">
        <f t="shared" si="6"/>
        <v>1961.25</v>
      </c>
      <c r="F185">
        <f t="shared" si="7"/>
        <v>235.35</v>
      </c>
      <c r="G185" s="3">
        <f t="shared" si="8"/>
        <v>2246.6</v>
      </c>
    </row>
    <row r="186" spans="1:7" ns3:dyDescent="0.25">
      <c r="A186" t="s">
        <v>233</v>
      </c>
      <c r="B186">
        <v>925.0</v>
      </c>
      <c r="C186" s="2">
        <v>0.12</v>
      </c>
      <c r="D186">
        <v>50</v>
      </c>
      <c r="E186">
        <f t="shared" si="6"/>
        <v>4837.75</v>
      </c>
      <c r="F186">
        <f t="shared" si="7"/>
        <v>580.53</v>
      </c>
      <c r="G186" s="3">
        <f t="shared" si="8"/>
        <v>5468.28</v>
      </c>
    </row>
    <row r="187" spans="1:7" ns3:dyDescent="0.25">
      <c r="A187" t="s">
        <v>662</v>
      </c>
      <c r="B187">
        <v>857.0</v>
      </c>
      <c r="C187" s="2">
        <v>0.12</v>
      </c>
      <c r="D187">
        <v>50</v>
      </c>
      <c r="E187">
        <f t="shared" si="6"/>
        <v>4482.11</v>
      </c>
      <c r="F187">
        <f t="shared" si="7"/>
        <v>537.8532</v>
      </c>
      <c r="G187" s="3">
        <f t="shared" si="8"/>
        <v>5069.9632</v>
      </c>
    </row>
    <row r="188" spans="1:7" ns3:dyDescent="0.25">
      <c r="A188" t="s">
        <v>234</v>
      </c>
      <c r="B188">
        <v>457.0</v>
      </c>
      <c r="C188" s="2">
        <v>0.12</v>
      </c>
      <c r="D188">
        <v>50</v>
      </c>
      <c r="E188">
        <f t="shared" si="6"/>
        <v>2390.11</v>
      </c>
      <c r="F188">
        <f t="shared" si="7"/>
        <v>286.8132</v>
      </c>
      <c r="G188" s="3">
        <f t="shared" si="8"/>
        <v>2726.9232</v>
      </c>
    </row>
    <row r="189" spans="1:7" ns3:dyDescent="0.25">
      <c r="A189" t="s">
        <v>235</v>
      </c>
      <c r="B189">
        <v>639.0</v>
      </c>
      <c r="C189" s="2">
        <v>0.12</v>
      </c>
      <c r="D189">
        <v>50</v>
      </c>
      <c r="E189">
        <f t="shared" si="6"/>
        <v>3341.97</v>
      </c>
      <c r="F189">
        <f t="shared" si="7"/>
        <v>401.0364</v>
      </c>
      <c r="G189" s="3">
        <f t="shared" si="8"/>
        <v>3793.0064</v>
      </c>
    </row>
    <row r="190" spans="1:7" ns3:dyDescent="0.25">
      <c r="A190" t="s">
        <v>882</v>
      </c>
      <c r="B190">
        <v>113.0</v>
      </c>
      <c r="C190" s="2">
        <v>0.12</v>
      </c>
      <c r="D190">
        <v>50</v>
      </c>
      <c r="E190">
        <f t="shared" si="6"/>
        <v>590.99</v>
      </c>
      <c r="F190">
        <f t="shared" si="7"/>
        <v>70.9188</v>
      </c>
      <c r="G190" s="3">
        <f t="shared" si="8"/>
        <v>711.9088</v>
      </c>
    </row>
    <row r="191" spans="1:7" ns3:dyDescent="0.25">
      <c r="A191" t="s">
        <v>705</v>
      </c>
      <c r="B191">
        <v>765.0</v>
      </c>
      <c r="C191" s="2">
        <v>0.12</v>
      </c>
      <c r="D191">
        <v>50</v>
      </c>
      <c r="E191">
        <f t="shared" si="6"/>
        <v>4000.95</v>
      </c>
      <c r="F191">
        <f t="shared" si="7"/>
        <v>480.114</v>
      </c>
      <c r="G191" s="3">
        <f t="shared" si="8"/>
        <v>4531.064</v>
      </c>
    </row>
    <row r="192" spans="1:7" ns3:dyDescent="0.25">
      <c r="A192" t="s">
        <v>548</v>
      </c>
      <c r="B192">
        <v>289.0</v>
      </c>
      <c r="C192" s="2">
        <v>0.12</v>
      </c>
      <c r="D192">
        <v>50</v>
      </c>
      <c r="E192">
        <f t="shared" si="6"/>
        <v>1511.47</v>
      </c>
      <c r="F192">
        <f t="shared" si="7"/>
        <v>181.3764</v>
      </c>
      <c r="G192" s="3">
        <f t="shared" si="8"/>
        <v>1742.8464</v>
      </c>
    </row>
    <row r="193" spans="1:7" ns3:dyDescent="0.25">
      <c r="A193" t="s">
        <v>706</v>
      </c>
      <c r="B193">
        <v>945.0</v>
      </c>
      <c r="C193" s="2">
        <v>0.12</v>
      </c>
      <c r="D193">
        <v>50</v>
      </c>
      <c r="E193">
        <f t="shared" si="6"/>
        <v>4942.35</v>
      </c>
      <c r="F193">
        <f t="shared" si="7"/>
        <v>593.082</v>
      </c>
      <c r="G193" s="3">
        <f t="shared" si="8"/>
        <v>5585.432</v>
      </c>
    </row>
    <row r="194" spans="1:7" ns3:dyDescent="0.25">
      <c r="A194" t="s">
        <v>707</v>
      </c>
      <c r="B194">
        <v>161.0</v>
      </c>
      <c r="C194" s="2">
        <v>0.12</v>
      </c>
      <c r="D194">
        <v>50</v>
      </c>
      <c r="E194">
        <f t="shared" si="6"/>
        <v>842.03</v>
      </c>
      <c r="F194">
        <f t="shared" si="7"/>
        <v>101.0436</v>
      </c>
      <c r="G194" s="3">
        <f t="shared" si="8"/>
        <v>993.0736</v>
      </c>
    </row>
    <row r="195" spans="1:7" ns3:dyDescent="0.25">
      <c r="A195" t="s">
        <v>236</v>
      </c>
      <c r="B195">
        <v>849.0</v>
      </c>
      <c r="C195" s="2">
        <v>0.12</v>
      </c>
      <c r="D195">
        <v>50</v>
      </c>
      <c r="E195">
        <f t="shared" ref="E195:E258" si="9">5.23*B195</f>
        <v>4440.27</v>
      </c>
      <c r="F195">
        <f t="shared" ref="F195:F258" si="10">E195*C195</f>
        <v>532.8324</v>
      </c>
      <c r="G195" s="3">
        <f t="shared" ref="G195:G258" si="11">F195+E195+D195</f>
        <v>5023.1024</v>
      </c>
    </row>
    <row r="196" spans="1:7" ns3:dyDescent="0.25">
      <c r="A196" t="s">
        <v>237</v>
      </c>
      <c r="B196">
        <v>907.0</v>
      </c>
      <c r="C196" s="2">
        <v>0.12</v>
      </c>
      <c r="D196">
        <v>50</v>
      </c>
      <c r="E196">
        <f t="shared" si="9"/>
        <v>4743.61</v>
      </c>
      <c r="F196">
        <f t="shared" si="10"/>
        <v>569.2332</v>
      </c>
      <c r="G196" s="3">
        <f t="shared" si="11"/>
        <v>5362.8432</v>
      </c>
    </row>
    <row r="197" spans="1:7" ns3:dyDescent="0.25">
      <c r="A197" t="s">
        <v>238</v>
      </c>
      <c r="B197">
        <v>171.0</v>
      </c>
      <c r="C197" s="2">
        <v>0.12</v>
      </c>
      <c r="D197">
        <v>50</v>
      </c>
      <c r="E197">
        <f t="shared" si="9"/>
        <v>894.33</v>
      </c>
      <c r="F197">
        <f t="shared" si="10"/>
        <v>107.3196</v>
      </c>
      <c r="G197" s="3">
        <f t="shared" si="11"/>
        <v>1051.6496</v>
      </c>
    </row>
    <row r="198" spans="1:7" ns3:dyDescent="0.25">
      <c r="A198" t="s">
        <v>239</v>
      </c>
      <c r="B198">
        <v>375.0</v>
      </c>
      <c r="C198" s="2">
        <v>0.12</v>
      </c>
      <c r="D198">
        <v>50</v>
      </c>
      <c r="E198">
        <f t="shared" si="9"/>
        <v>1961.25</v>
      </c>
      <c r="F198">
        <f t="shared" si="10"/>
        <v>235.35</v>
      </c>
      <c r="G198" s="3">
        <f t="shared" si="11"/>
        <v>2246.6</v>
      </c>
    </row>
    <row r="199" spans="1:7" ns3:dyDescent="0.25">
      <c r="A199" t="s">
        <v>240</v>
      </c>
      <c r="B199">
        <v>339.0</v>
      </c>
      <c r="C199" s="2">
        <v>0.12</v>
      </c>
      <c r="D199">
        <v>50</v>
      </c>
      <c r="E199">
        <f t="shared" si="9"/>
        <v>1772.97</v>
      </c>
      <c r="F199">
        <f t="shared" si="10"/>
        <v>212.7564</v>
      </c>
      <c r="G199" s="3">
        <f t="shared" si="11"/>
        <v>2035.7264</v>
      </c>
    </row>
    <row r="200" spans="1:7" ns3:dyDescent="0.25">
      <c r="A200" t="s">
        <v>549</v>
      </c>
      <c r="B200">
        <v>947.0</v>
      </c>
      <c r="C200" s="2">
        <v>0.12</v>
      </c>
      <c r="D200">
        <v>50</v>
      </c>
      <c r="E200">
        <f t="shared" si="9"/>
        <v>4952.81</v>
      </c>
      <c r="F200">
        <f t="shared" si="10"/>
        <v>594.3372</v>
      </c>
      <c r="G200" s="3">
        <f t="shared" si="11"/>
        <v>5597.1472</v>
      </c>
    </row>
    <row r="201" spans="1:7" ns3:dyDescent="0.25">
      <c r="A201" t="s">
        <v>708</v>
      </c>
      <c r="B201">
        <v>287.0</v>
      </c>
      <c r="C201" s="2">
        <v>0.12</v>
      </c>
      <c r="D201">
        <v>50</v>
      </c>
      <c r="E201">
        <f t="shared" si="9"/>
        <v>1501.01</v>
      </c>
      <c r="F201">
        <f t="shared" si="10"/>
        <v>180.1212</v>
      </c>
      <c r="G201" s="3">
        <f t="shared" si="11"/>
        <v>1731.1312</v>
      </c>
    </row>
    <row r="202" spans="1:7" ns3:dyDescent="0.25">
      <c r="A202" t="s">
        <v>241</v>
      </c>
      <c r="B202">
        <v>529.0</v>
      </c>
      <c r="C202" s="2">
        <v>0.12</v>
      </c>
      <c r="D202">
        <v>50</v>
      </c>
      <c r="E202">
        <f t="shared" si="9"/>
        <v>2766.67</v>
      </c>
      <c r="F202">
        <f t="shared" si="10"/>
        <v>332.0004</v>
      </c>
      <c r="G202" s="3">
        <f t="shared" si="11"/>
        <v>3148.6704</v>
      </c>
    </row>
    <row r="203" spans="1:7" ns3:dyDescent="0.25">
      <c r="A203" t="s">
        <v>242</v>
      </c>
      <c r="B203">
        <v>163.0</v>
      </c>
      <c r="C203" s="2">
        <v>0.12</v>
      </c>
      <c r="D203">
        <v>50</v>
      </c>
      <c r="E203">
        <f t="shared" si="9"/>
        <v>852.49</v>
      </c>
      <c r="F203">
        <f t="shared" si="10"/>
        <v>102.2988</v>
      </c>
      <c r="G203" s="3">
        <f t="shared" si="11"/>
        <v>1004.7888</v>
      </c>
    </row>
    <row r="204" spans="1:7" ns3:dyDescent="0.25">
      <c r="A204" t="s">
        <v>243</v>
      </c>
      <c r="B204">
        <v>573.0</v>
      </c>
      <c r="C204" s="2">
        <v>0.12</v>
      </c>
      <c r="D204">
        <v>50</v>
      </c>
      <c r="E204">
        <f t="shared" si="9"/>
        <v>2996.79</v>
      </c>
      <c r="F204">
        <f t="shared" si="10"/>
        <v>359.6148</v>
      </c>
      <c r="G204" s="3">
        <f t="shared" si="11"/>
        <v>3406.4048</v>
      </c>
    </row>
    <row r="205" spans="1:7" ns3:dyDescent="0.25">
      <c r="A205" t="s">
        <v>244</v>
      </c>
      <c r="B205">
        <v>641.0</v>
      </c>
      <c r="C205" s="2">
        <v>0.12</v>
      </c>
      <c r="D205">
        <v>50</v>
      </c>
      <c r="E205">
        <f t="shared" si="9"/>
        <v>3352.43</v>
      </c>
      <c r="F205">
        <f t="shared" si="10"/>
        <v>402.2916</v>
      </c>
      <c r="G205" s="3">
        <f t="shared" si="11"/>
        <v>3804.7216</v>
      </c>
    </row>
    <row r="206" spans="1:7" ns3:dyDescent="0.25">
      <c r="A206" t="s">
        <v>245</v>
      </c>
      <c r="B206">
        <v>699.0</v>
      </c>
      <c r="C206" s="2">
        <v>0.12</v>
      </c>
      <c r="D206">
        <v>50</v>
      </c>
      <c r="E206">
        <f t="shared" si="9"/>
        <v>3655.77</v>
      </c>
      <c r="F206">
        <f t="shared" si="10"/>
        <v>438.6924</v>
      </c>
      <c r="G206" s="3">
        <f t="shared" si="11"/>
        <v>4144.4624</v>
      </c>
    </row>
    <row r="207" spans="1:7" ns3:dyDescent="0.25">
      <c r="A207" t="s">
        <v>246</v>
      </c>
      <c r="B207">
        <v>393.0</v>
      </c>
      <c r="C207" s="2">
        <v>0.12</v>
      </c>
      <c r="D207">
        <v>50</v>
      </c>
      <c r="E207">
        <f t="shared" si="9"/>
        <v>2055.39</v>
      </c>
      <c r="F207">
        <f t="shared" si="10"/>
        <v>246.6468</v>
      </c>
      <c r="G207" s="3">
        <f t="shared" si="11"/>
        <v>2352.0368</v>
      </c>
    </row>
    <row r="208" spans="1:7" ns3:dyDescent="0.25">
      <c r="A208" t="s">
        <v>247</v>
      </c>
      <c r="B208">
        <v>461.0</v>
      </c>
      <c r="C208" s="2">
        <v>0.12</v>
      </c>
      <c r="D208">
        <v>50</v>
      </c>
      <c r="E208">
        <f t="shared" si="9"/>
        <v>2411.03</v>
      </c>
      <c r="F208">
        <f t="shared" si="10"/>
        <v>289.3236</v>
      </c>
      <c r="G208" s="3">
        <f t="shared" si="11"/>
        <v>2750.3536</v>
      </c>
    </row>
    <row r="209" spans="1:7" ns3:dyDescent="0.25">
      <c r="A209" t="s">
        <v>248</v>
      </c>
      <c r="B209">
        <v>695.0</v>
      </c>
      <c r="C209" s="2">
        <v>0.12</v>
      </c>
      <c r="D209">
        <v>50</v>
      </c>
      <c r="E209">
        <f t="shared" si="9"/>
        <v>3634.85</v>
      </c>
      <c r="F209">
        <f t="shared" si="10"/>
        <v>436.182</v>
      </c>
      <c r="G209" s="3">
        <f t="shared" si="11"/>
        <v>4121.032</v>
      </c>
    </row>
    <row r="210" spans="1:7" ns3:dyDescent="0.25">
      <c r="A210" t="s">
        <v>550</v>
      </c>
      <c r="B210">
        <v>615.0</v>
      </c>
      <c r="C210" s="2">
        <v>0.12</v>
      </c>
      <c r="D210">
        <v>50</v>
      </c>
      <c r="E210">
        <f t="shared" si="9"/>
        <v>3216.45</v>
      </c>
      <c r="F210">
        <f t="shared" si="10"/>
        <v>385.974</v>
      </c>
      <c r="G210" s="3">
        <f t="shared" si="11"/>
        <v>3652.424</v>
      </c>
    </row>
    <row r="211" spans="1:7" ns3:dyDescent="0.25">
      <c r="A211" t="s">
        <v>551</v>
      </c>
      <c r="B211">
        <v>443.0</v>
      </c>
      <c r="C211" s="2">
        <v>0.12</v>
      </c>
      <c r="D211">
        <v>50</v>
      </c>
      <c r="E211">
        <f t="shared" si="9"/>
        <v>2316.89</v>
      </c>
      <c r="F211">
        <f t="shared" si="10"/>
        <v>278.0268</v>
      </c>
      <c r="G211" s="3">
        <f t="shared" si="11"/>
        <v>2644.9168</v>
      </c>
    </row>
    <row r="212" spans="1:7" ns3:dyDescent="0.25">
      <c r="A212" t="s">
        <v>552</v>
      </c>
      <c r="B212">
        <v>375.0</v>
      </c>
      <c r="C212" s="2">
        <v>0.12</v>
      </c>
      <c r="D212">
        <v>50</v>
      </c>
      <c r="E212">
        <f t="shared" si="9"/>
        <v>1961.25</v>
      </c>
      <c r="F212">
        <f t="shared" si="10"/>
        <v>235.35</v>
      </c>
      <c r="G212" s="3">
        <f t="shared" si="11"/>
        <v>2246.6</v>
      </c>
    </row>
    <row r="213" spans="1:7" ns3:dyDescent="0.25">
      <c r="A213" t="s">
        <v>249</v>
      </c>
      <c r="B213">
        <v>647.0</v>
      </c>
      <c r="C213" s="2">
        <v>0.12</v>
      </c>
      <c r="D213">
        <v>50</v>
      </c>
      <c r="E213">
        <f t="shared" si="9"/>
        <v>3383.81</v>
      </c>
      <c r="F213">
        <f t="shared" si="10"/>
        <v>406.0572</v>
      </c>
      <c r="G213" s="3">
        <f t="shared" si="11"/>
        <v>3839.8672</v>
      </c>
    </row>
    <row r="214" spans="1:7" ns3:dyDescent="0.25">
      <c r="A214" t="s">
        <v>553</v>
      </c>
      <c r="B214">
        <v>369.0</v>
      </c>
      <c r="C214" s="2">
        <v>0.12</v>
      </c>
      <c r="D214">
        <v>50</v>
      </c>
      <c r="E214">
        <f t="shared" si="9"/>
        <v>1929.87</v>
      </c>
      <c r="F214">
        <f t="shared" si="10"/>
        <v>231.5844</v>
      </c>
      <c r="G214" s="3">
        <f t="shared" si="11"/>
        <v>2211.4544</v>
      </c>
    </row>
    <row r="215" spans="1:7" ns3:dyDescent="0.25">
      <c r="A215" t="s">
        <v>554</v>
      </c>
      <c r="B215">
        <v>755.0</v>
      </c>
      <c r="C215" s="2">
        <v>0.12</v>
      </c>
      <c r="D215">
        <v>50</v>
      </c>
      <c r="E215">
        <f t="shared" si="9"/>
        <v>3948.65</v>
      </c>
      <c r="F215">
        <f t="shared" si="10"/>
        <v>473.838</v>
      </c>
      <c r="G215" s="3">
        <f t="shared" si="11"/>
        <v>4472.488</v>
      </c>
    </row>
    <row r="216" spans="1:7" ns3:dyDescent="0.25">
      <c r="A216" t="s">
        <v>250</v>
      </c>
      <c r="B216">
        <v>799.0</v>
      </c>
      <c r="C216" s="2">
        <v>0.12</v>
      </c>
      <c r="D216">
        <v>50</v>
      </c>
      <c r="E216">
        <f t="shared" si="9"/>
        <v>4178.77</v>
      </c>
      <c r="F216">
        <f t="shared" si="10"/>
        <v>501.4524</v>
      </c>
      <c r="G216" s="3">
        <f t="shared" si="11"/>
        <v>4730.2224</v>
      </c>
    </row>
    <row r="217" spans="1:7" ns3:dyDescent="0.25">
      <c r="A217" t="s">
        <v>734</v>
      </c>
      <c r="B217">
        <v>139.0</v>
      </c>
      <c r="C217" s="2">
        <v>0.12</v>
      </c>
      <c r="D217">
        <v>50</v>
      </c>
      <c r="E217">
        <f t="shared" si="9"/>
        <v>726.97</v>
      </c>
      <c r="F217">
        <f t="shared" si="10"/>
        <v>87.2364</v>
      </c>
      <c r="G217" s="3">
        <f t="shared" si="11"/>
        <v>864.2064</v>
      </c>
    </row>
    <row r="218" spans="1:7" ns3:dyDescent="0.25">
      <c r="A218" t="s">
        <v>251</v>
      </c>
      <c r="B218">
        <v>915.0</v>
      </c>
      <c r="C218" s="2">
        <v>0.12</v>
      </c>
      <c r="D218">
        <v>50</v>
      </c>
      <c r="E218">
        <f t="shared" si="9"/>
        <v>4785.45</v>
      </c>
      <c r="F218">
        <f t="shared" si="10"/>
        <v>574.254</v>
      </c>
      <c r="G218" s="3">
        <f t="shared" si="11"/>
        <v>5409.704</v>
      </c>
    </row>
    <row r="219" spans="1:7" ns3:dyDescent="0.25">
      <c r="A219" t="s">
        <v>252</v>
      </c>
      <c r="B219">
        <v>579.0</v>
      </c>
      <c r="C219" s="2">
        <v>0.12</v>
      </c>
      <c r="D219">
        <v>50</v>
      </c>
      <c r="E219">
        <f t="shared" si="9"/>
        <v>3028.17</v>
      </c>
      <c r="F219">
        <f t="shared" si="10"/>
        <v>363.3804</v>
      </c>
      <c r="G219" s="3">
        <f t="shared" si="11"/>
        <v>3441.5504</v>
      </c>
    </row>
    <row r="220" spans="1:7" ns3:dyDescent="0.25">
      <c r="A220" t="s">
        <v>555</v>
      </c>
      <c r="B220">
        <v>339.0</v>
      </c>
      <c r="C220" s="2">
        <v>0.12</v>
      </c>
      <c r="D220">
        <v>50</v>
      </c>
      <c r="E220">
        <f t="shared" si="9"/>
        <v>1772.97</v>
      </c>
      <c r="F220">
        <f t="shared" si="10"/>
        <v>212.7564</v>
      </c>
      <c r="G220" s="3">
        <f t="shared" si="11"/>
        <v>2035.7264</v>
      </c>
    </row>
    <row r="221" spans="1:7" ns3:dyDescent="0.25">
      <c r="A221" t="s">
        <v>253</v>
      </c>
      <c r="B221">
        <v>743.0</v>
      </c>
      <c r="C221" s="2">
        <v>0.12</v>
      </c>
      <c r="D221">
        <v>50</v>
      </c>
      <c r="E221">
        <f t="shared" si="9"/>
        <v>3885.89</v>
      </c>
      <c r="F221">
        <f t="shared" si="10"/>
        <v>466.3068</v>
      </c>
      <c r="G221" s="3">
        <f t="shared" si="11"/>
        <v>4402.1968</v>
      </c>
    </row>
    <row r="222" spans="1:7" ns3:dyDescent="0.25">
      <c r="A222" t="s">
        <v>254</v>
      </c>
      <c r="B222">
        <v>211.0</v>
      </c>
      <c r="C222" s="2">
        <v>0.12</v>
      </c>
      <c r="D222">
        <v>50</v>
      </c>
      <c r="E222">
        <f t="shared" si="9"/>
        <v>1103.53</v>
      </c>
      <c r="F222">
        <f t="shared" si="10"/>
        <v>132.4236</v>
      </c>
      <c r="G222" s="3">
        <f t="shared" si="11"/>
        <v>1285.9536</v>
      </c>
    </row>
    <row r="223" spans="1:7" ns3:dyDescent="0.25">
      <c r="A223" t="s">
        <v>255</v>
      </c>
      <c r="B223">
        <v>269.0</v>
      </c>
      <c r="C223" s="2">
        <v>0.12</v>
      </c>
      <c r="D223">
        <v>50</v>
      </c>
      <c r="E223">
        <f t="shared" si="9"/>
        <v>1406.87</v>
      </c>
      <c r="F223">
        <f t="shared" si="10"/>
        <v>168.8244</v>
      </c>
      <c r="G223" s="3">
        <f t="shared" si="11"/>
        <v>1625.6944</v>
      </c>
    </row>
    <row r="224" spans="1:7" ns3:dyDescent="0.25">
      <c r="A224" t="s">
        <v>556</v>
      </c>
      <c r="B224">
        <v>163.0</v>
      </c>
      <c r="C224" s="2">
        <v>0.12</v>
      </c>
      <c r="D224">
        <v>50</v>
      </c>
      <c r="E224">
        <f t="shared" si="9"/>
        <v>852.49</v>
      </c>
      <c r="F224">
        <f t="shared" si="10"/>
        <v>102.2988</v>
      </c>
      <c r="G224" s="3">
        <f t="shared" si="11"/>
        <v>1004.7888</v>
      </c>
    </row>
    <row r="225" spans="1:7" ns3:dyDescent="0.25">
      <c r="A225" t="s">
        <v>256</v>
      </c>
      <c r="B225">
        <v>793.0</v>
      </c>
      <c r="C225" s="2">
        <v>0.12</v>
      </c>
      <c r="D225">
        <v>50</v>
      </c>
      <c r="E225">
        <f t="shared" si="9"/>
        <v>4147.39</v>
      </c>
      <c r="F225">
        <f t="shared" si="10"/>
        <v>497.6868</v>
      </c>
      <c r="G225" s="3">
        <f t="shared" si="11"/>
        <v>4695.0768</v>
      </c>
    </row>
    <row r="226" spans="1:7" ns3:dyDescent="0.25">
      <c r="A226" t="s">
        <v>257</v>
      </c>
      <c r="B226">
        <v>679.0</v>
      </c>
      <c r="C226" s="2">
        <v>0.12</v>
      </c>
      <c r="D226">
        <v>50</v>
      </c>
      <c r="E226">
        <f t="shared" si="9"/>
        <v>3551.17</v>
      </c>
      <c r="F226">
        <f t="shared" si="10"/>
        <v>426.1404</v>
      </c>
      <c r="G226" s="3">
        <f t="shared" si="11"/>
        <v>4027.3104</v>
      </c>
    </row>
    <row r="227" spans="1:7" ns3:dyDescent="0.25">
      <c r="A227" t="s">
        <v>258</v>
      </c>
      <c r="B227">
        <v>681.0</v>
      </c>
      <c r="C227" s="2">
        <v>0.12</v>
      </c>
      <c r="D227">
        <v>50</v>
      </c>
      <c r="E227">
        <f t="shared" si="9"/>
        <v>3561.63</v>
      </c>
      <c r="F227">
        <f t="shared" si="10"/>
        <v>427.3956</v>
      </c>
      <c r="G227" s="3">
        <f t="shared" si="11"/>
        <v>4039.0256</v>
      </c>
    </row>
    <row r="228" spans="1:7" ns3:dyDescent="0.25">
      <c r="A228" t="s">
        <v>259</v>
      </c>
      <c r="B228">
        <v>655.0</v>
      </c>
      <c r="C228" s="2">
        <v>0.12</v>
      </c>
      <c r="D228">
        <v>50</v>
      </c>
      <c r="E228">
        <f t="shared" si="9"/>
        <v>3425.65</v>
      </c>
      <c r="F228">
        <f t="shared" si="10"/>
        <v>411.078</v>
      </c>
      <c r="G228" s="3">
        <f t="shared" si="11"/>
        <v>3886.728</v>
      </c>
    </row>
    <row r="229" spans="1:7" ns3:dyDescent="0.25">
      <c r="A229" t="s">
        <v>260</v>
      </c>
      <c r="B229">
        <v>75.0</v>
      </c>
      <c r="C229" s="2">
        <v>0.12</v>
      </c>
      <c r="D229">
        <v>50</v>
      </c>
      <c r="E229">
        <f t="shared" si="9"/>
        <v>392.25</v>
      </c>
      <c r="F229">
        <f t="shared" si="10"/>
        <v>47.07</v>
      </c>
      <c r="G229" s="3">
        <f t="shared" si="11"/>
        <v>489.32</v>
      </c>
    </row>
    <row r="230" spans="1:7" ns3:dyDescent="0.25">
      <c r="A230" t="s">
        <v>261</v>
      </c>
      <c r="B230">
        <v>369.0</v>
      </c>
      <c r="C230" s="2">
        <v>0.12</v>
      </c>
      <c r="D230">
        <v>50</v>
      </c>
      <c r="E230">
        <f t="shared" si="9"/>
        <v>1929.87</v>
      </c>
      <c r="F230">
        <f t="shared" si="10"/>
        <v>231.5844</v>
      </c>
      <c r="G230" s="3">
        <f t="shared" si="11"/>
        <v>2211.4544</v>
      </c>
    </row>
    <row r="231" spans="1:7" ns3:dyDescent="0.25">
      <c r="A231" t="s">
        <v>262</v>
      </c>
      <c r="B231">
        <v>739.0</v>
      </c>
      <c r="C231" s="2">
        <v>0.12</v>
      </c>
      <c r="D231">
        <v>50</v>
      </c>
      <c r="E231">
        <f t="shared" si="9"/>
        <v>3864.97</v>
      </c>
      <c r="F231">
        <f t="shared" si="10"/>
        <v>463.7964</v>
      </c>
      <c r="G231" s="3">
        <f t="shared" si="11"/>
        <v>4378.7664</v>
      </c>
    </row>
    <row r="232" spans="1:7" ns3:dyDescent="0.25">
      <c r="A232" t="s">
        <v>263</v>
      </c>
      <c r="B232">
        <v>69.0</v>
      </c>
      <c r="C232" s="2">
        <v>0.12</v>
      </c>
      <c r="D232">
        <v>50</v>
      </c>
      <c r="E232">
        <f t="shared" si="9"/>
        <v>360.87</v>
      </c>
      <c r="F232">
        <f t="shared" si="10"/>
        <v>43.3044</v>
      </c>
      <c r="G232" s="3">
        <f t="shared" si="11"/>
        <v>454.1744</v>
      </c>
    </row>
    <row r="233" spans="1:7" ns3:dyDescent="0.25">
      <c r="A233" t="s">
        <v>557</v>
      </c>
      <c r="B233">
        <v>629.0</v>
      </c>
      <c r="C233" s="2">
        <v>0.12</v>
      </c>
      <c r="D233">
        <v>50</v>
      </c>
      <c r="E233">
        <f t="shared" si="9"/>
        <v>3289.67</v>
      </c>
      <c r="F233">
        <f t="shared" si="10"/>
        <v>394.7604</v>
      </c>
      <c r="G233" s="3">
        <f t="shared" si="11"/>
        <v>3734.4304</v>
      </c>
    </row>
    <row r="234" spans="1:7" ns3:dyDescent="0.25">
      <c r="A234" t="s">
        <v>264</v>
      </c>
      <c r="B234">
        <v>589.0</v>
      </c>
      <c r="C234" s="2">
        <v>0.12</v>
      </c>
      <c r="D234">
        <v>50</v>
      </c>
      <c r="E234">
        <f t="shared" si="9"/>
        <v>3080.47</v>
      </c>
      <c r="F234">
        <f t="shared" si="10"/>
        <v>369.6564</v>
      </c>
      <c r="G234" s="3">
        <f t="shared" si="11"/>
        <v>3500.1264</v>
      </c>
    </row>
    <row r="235" spans="1:7" ns3:dyDescent="0.25">
      <c r="A235" t="s">
        <v>265</v>
      </c>
      <c r="B235">
        <v>343.0</v>
      </c>
      <c r="C235" s="2">
        <v>0.12</v>
      </c>
      <c r="D235">
        <v>50</v>
      </c>
      <c r="E235">
        <f t="shared" si="9"/>
        <v>1793.89</v>
      </c>
      <c r="F235">
        <f t="shared" si="10"/>
        <v>215.2668</v>
      </c>
      <c r="G235" s="3">
        <f t="shared" si="11"/>
        <v>2059.1568</v>
      </c>
    </row>
    <row r="236" spans="1:7" ns3:dyDescent="0.25">
      <c r="A236" t="s">
        <v>266</v>
      </c>
      <c r="B236">
        <v>613.0</v>
      </c>
      <c r="C236" s="2">
        <v>0.12</v>
      </c>
      <c r="D236">
        <v>50</v>
      </c>
      <c r="E236">
        <f t="shared" si="9"/>
        <v>3205.99</v>
      </c>
      <c r="F236">
        <f t="shared" si="10"/>
        <v>384.7188</v>
      </c>
      <c r="G236" s="3">
        <f t="shared" si="11"/>
        <v>3640.7088</v>
      </c>
    </row>
    <row r="237" spans="1:7" ns3:dyDescent="0.25">
      <c r="A237" t="s">
        <v>558</v>
      </c>
      <c r="B237">
        <v>715.0</v>
      </c>
      <c r="C237" s="2">
        <v>0.12</v>
      </c>
      <c r="D237">
        <v>50</v>
      </c>
      <c r="E237">
        <f t="shared" si="9"/>
        <v>3739.45</v>
      </c>
      <c r="F237">
        <f t="shared" si="10"/>
        <v>448.734</v>
      </c>
      <c r="G237" s="3">
        <f t="shared" si="11"/>
        <v>4238.184</v>
      </c>
    </row>
    <row r="238" spans="1:7" ns3:dyDescent="0.25">
      <c r="A238" t="s">
        <v>772</v>
      </c>
      <c r="B238">
        <v>467.0</v>
      </c>
      <c r="C238" s="2">
        <v>0.12</v>
      </c>
      <c r="D238">
        <v>50</v>
      </c>
      <c r="E238">
        <f t="shared" si="9"/>
        <v>2442.41</v>
      </c>
      <c r="F238">
        <f t="shared" si="10"/>
        <v>293.0892</v>
      </c>
      <c r="G238" s="3">
        <f t="shared" si="11"/>
        <v>2785.4992</v>
      </c>
    </row>
    <row r="239" spans="1:7" ns3:dyDescent="0.25">
      <c r="A239" t="s">
        <v>559</v>
      </c>
      <c r="B239">
        <v>311.0</v>
      </c>
      <c r="C239" s="2">
        <v>0.12</v>
      </c>
      <c r="D239">
        <v>50</v>
      </c>
      <c r="E239">
        <f t="shared" si="9"/>
        <v>1626.53</v>
      </c>
      <c r="F239">
        <f t="shared" si="10"/>
        <v>195.1836</v>
      </c>
      <c r="G239" s="3">
        <f t="shared" si="11"/>
        <v>1871.7136</v>
      </c>
    </row>
    <row r="240" spans="1:7" ns3:dyDescent="0.25">
      <c r="A240" t="s">
        <v>560</v>
      </c>
      <c r="B240">
        <v>439.0</v>
      </c>
      <c r="C240" s="2">
        <v>0.12</v>
      </c>
      <c r="D240">
        <v>50</v>
      </c>
      <c r="E240">
        <f t="shared" si="9"/>
        <v>2295.97</v>
      </c>
      <c r="F240">
        <f t="shared" si="10"/>
        <v>275.5164</v>
      </c>
      <c r="G240" s="3">
        <f t="shared" si="11"/>
        <v>2621.4864</v>
      </c>
    </row>
    <row r="241" spans="1:7" ns3:dyDescent="0.25">
      <c r="A241" t="s">
        <v>561</v>
      </c>
      <c r="B241">
        <v>401.0</v>
      </c>
      <c r="C241" s="2">
        <v>0.12</v>
      </c>
      <c r="D241">
        <v>50</v>
      </c>
      <c r="E241">
        <f t="shared" si="9"/>
        <v>2097.23</v>
      </c>
      <c r="F241">
        <f t="shared" si="10"/>
        <v>251.6676</v>
      </c>
      <c r="G241" s="3">
        <f t="shared" si="11"/>
        <v>2398.8976</v>
      </c>
    </row>
    <row r="242" spans="1:7" ns3:dyDescent="0.25">
      <c r="A242" t="s">
        <v>709</v>
      </c>
      <c r="B242">
        <v>369.0</v>
      </c>
      <c r="C242" s="2">
        <v>0.12</v>
      </c>
      <c r="D242">
        <v>50</v>
      </c>
      <c r="E242">
        <f t="shared" si="9"/>
        <v>1929.87</v>
      </c>
      <c r="F242">
        <f t="shared" si="10"/>
        <v>231.5844</v>
      </c>
      <c r="G242" s="3">
        <f t="shared" si="11"/>
        <v>2211.4544</v>
      </c>
    </row>
    <row r="243" spans="1:7" ns3:dyDescent="0.25">
      <c r="A243" t="s">
        <v>562</v>
      </c>
      <c r="B243">
        <v>433.0</v>
      </c>
      <c r="C243" s="2">
        <v>0.12</v>
      </c>
      <c r="D243">
        <v>50</v>
      </c>
      <c r="E243">
        <f t="shared" si="9"/>
        <v>2264.59</v>
      </c>
      <c r="F243">
        <f t="shared" si="10"/>
        <v>271.7508</v>
      </c>
      <c r="G243" s="3">
        <f t="shared" si="11"/>
        <v>2586.3408</v>
      </c>
    </row>
    <row r="244" spans="1:7" ns3:dyDescent="0.25">
      <c r="A244" t="s">
        <v>563</v>
      </c>
      <c r="B244">
        <v>815.0</v>
      </c>
      <c r="C244" s="2">
        <v>0.12</v>
      </c>
      <c r="D244">
        <v>50</v>
      </c>
      <c r="E244">
        <f t="shared" si="9"/>
        <v>4262.45</v>
      </c>
      <c r="F244">
        <f t="shared" si="10"/>
        <v>511.494</v>
      </c>
      <c r="G244" s="3">
        <f t="shared" si="11"/>
        <v>4823.944</v>
      </c>
    </row>
    <row r="245" spans="1:7" ns3:dyDescent="0.25">
      <c r="A245" t="s">
        <v>564</v>
      </c>
      <c r="B245">
        <v>107.0</v>
      </c>
      <c r="C245" s="2">
        <v>0.12</v>
      </c>
      <c r="D245">
        <v>50</v>
      </c>
      <c r="E245">
        <f t="shared" si="9"/>
        <v>559.61</v>
      </c>
      <c r="F245">
        <f t="shared" si="10"/>
        <v>67.1532</v>
      </c>
      <c r="G245" s="3">
        <f t="shared" si="11"/>
        <v>676.7632</v>
      </c>
    </row>
    <row r="246" spans="1:7" ns3:dyDescent="0.25">
      <c r="A246" t="s">
        <v>565</v>
      </c>
      <c r="B246">
        <v>315.0</v>
      </c>
      <c r="C246" s="2">
        <v>0.12</v>
      </c>
      <c r="D246">
        <v>50</v>
      </c>
      <c r="E246">
        <f t="shared" si="9"/>
        <v>1647.45</v>
      </c>
      <c r="F246">
        <f t="shared" si="10"/>
        <v>197.694</v>
      </c>
      <c r="G246" s="3">
        <f t="shared" si="11"/>
        <v>1895.144</v>
      </c>
    </row>
    <row r="247" spans="1:7" ns3:dyDescent="0.25">
      <c r="A247" t="s">
        <v>631</v>
      </c>
      <c r="B247">
        <v>103.0</v>
      </c>
      <c r="C247" s="2">
        <v>0.12</v>
      </c>
      <c r="D247">
        <v>50</v>
      </c>
      <c r="E247">
        <f t="shared" si="9"/>
        <v>538.69</v>
      </c>
      <c r="F247">
        <f t="shared" si="10"/>
        <v>64.6428</v>
      </c>
      <c r="G247" s="3">
        <f t="shared" si="11"/>
        <v>653.3328</v>
      </c>
    </row>
    <row r="248" spans="1:7" ns3:dyDescent="0.25">
      <c r="A248" t="s">
        <v>566</v>
      </c>
      <c r="B248">
        <v>483.0</v>
      </c>
      <c r="C248" s="2">
        <v>0.12</v>
      </c>
      <c r="D248">
        <v>50</v>
      </c>
      <c r="E248">
        <f t="shared" si="9"/>
        <v>2526.09</v>
      </c>
      <c r="F248">
        <f t="shared" si="10"/>
        <v>303.1308</v>
      </c>
      <c r="G248" s="3">
        <f t="shared" si="11"/>
        <v>2879.2208</v>
      </c>
    </row>
    <row r="249" spans="1:7" ns3:dyDescent="0.25">
      <c r="A249" t="s">
        <v>632</v>
      </c>
      <c r="B249">
        <v>543.0</v>
      </c>
      <c r="C249" s="2">
        <v>0.12</v>
      </c>
      <c r="D249">
        <v>50</v>
      </c>
      <c r="E249">
        <f t="shared" si="9"/>
        <v>2839.89</v>
      </c>
      <c r="F249">
        <f t="shared" si="10"/>
        <v>340.7868</v>
      </c>
      <c r="G249" s="3">
        <f t="shared" si="11"/>
        <v>3230.6768</v>
      </c>
    </row>
    <row r="250" spans="1:7" ns3:dyDescent="0.25">
      <c r="A250" t="s">
        <v>567</v>
      </c>
      <c r="B250">
        <v>551.0</v>
      </c>
      <c r="C250" s="2">
        <v>0.12</v>
      </c>
      <c r="D250">
        <v>50</v>
      </c>
      <c r="E250">
        <f t="shared" si="9"/>
        <v>2881.73</v>
      </c>
      <c r="F250">
        <f t="shared" si="10"/>
        <v>345.8076</v>
      </c>
      <c r="G250" s="3">
        <f t="shared" si="11"/>
        <v>3277.5376</v>
      </c>
    </row>
    <row r="251" spans="1:7" ns3:dyDescent="0.25">
      <c r="A251" t="s">
        <v>568</v>
      </c>
      <c r="B251">
        <v>161.0</v>
      </c>
      <c r="C251" s="2">
        <v>0.12</v>
      </c>
      <c r="D251">
        <v>50</v>
      </c>
      <c r="E251">
        <f t="shared" si="9"/>
        <v>842.03</v>
      </c>
      <c r="F251">
        <f t="shared" si="10"/>
        <v>101.0436</v>
      </c>
      <c r="G251" s="3">
        <f t="shared" si="11"/>
        <v>993.0736</v>
      </c>
    </row>
    <row r="252" spans="1:7" ns3:dyDescent="0.25">
      <c r="A252" t="s">
        <v>633</v>
      </c>
      <c r="B252">
        <v>431.0</v>
      </c>
      <c r="C252" s="2">
        <v>0.12</v>
      </c>
      <c r="D252">
        <v>50</v>
      </c>
      <c r="E252">
        <f t="shared" si="9"/>
        <v>2254.13</v>
      </c>
      <c r="F252">
        <f t="shared" si="10"/>
        <v>270.4956</v>
      </c>
      <c r="G252" s="3">
        <f t="shared" si="11"/>
        <v>2574.6256</v>
      </c>
    </row>
    <row r="253" spans="1:7" ns3:dyDescent="0.25">
      <c r="A253" t="s">
        <v>569</v>
      </c>
      <c r="B253">
        <v>287.0</v>
      </c>
      <c r="C253" s="2">
        <v>0.12</v>
      </c>
      <c r="D253">
        <v>50</v>
      </c>
      <c r="E253">
        <f t="shared" si="9"/>
        <v>1501.01</v>
      </c>
      <c r="F253">
        <f t="shared" si="10"/>
        <v>180.1212</v>
      </c>
      <c r="G253" s="3">
        <f t="shared" si="11"/>
        <v>1731.1312</v>
      </c>
    </row>
    <row r="254" spans="1:7" ns3:dyDescent="0.25">
      <c r="A254" t="s">
        <v>570</v>
      </c>
      <c r="B254">
        <v>609.0</v>
      </c>
      <c r="C254" s="2">
        <v>0.12</v>
      </c>
      <c r="D254">
        <v>50</v>
      </c>
      <c r="E254">
        <f t="shared" si="9"/>
        <v>3185.07</v>
      </c>
      <c r="F254">
        <f t="shared" si="10"/>
        <v>382.2084</v>
      </c>
      <c r="G254" s="3">
        <f t="shared" si="11"/>
        <v>3617.2784</v>
      </c>
    </row>
    <row r="255" spans="1:7" ns3:dyDescent="0.25">
      <c r="A255" t="s">
        <v>571</v>
      </c>
      <c r="B255">
        <v>939.0</v>
      </c>
      <c r="C255" s="2">
        <v>0.12</v>
      </c>
      <c r="D255">
        <v>50</v>
      </c>
      <c r="E255">
        <f t="shared" si="9"/>
        <v>4910.97</v>
      </c>
      <c r="F255">
        <f t="shared" si="10"/>
        <v>589.3164</v>
      </c>
      <c r="G255" s="3">
        <f t="shared" si="11"/>
        <v>5550.2864</v>
      </c>
    </row>
    <row r="256" spans="1:7" ns3:dyDescent="0.25">
      <c r="A256" t="s">
        <v>572</v>
      </c>
      <c r="B256">
        <v>611.0</v>
      </c>
      <c r="C256" s="2">
        <v>0.12</v>
      </c>
      <c r="D256">
        <v>50</v>
      </c>
      <c r="E256">
        <f t="shared" si="9"/>
        <v>3195.53</v>
      </c>
      <c r="F256">
        <f t="shared" si="10"/>
        <v>383.4636</v>
      </c>
      <c r="G256" s="3">
        <f t="shared" si="11"/>
        <v>3628.9936</v>
      </c>
    </row>
    <row r="257" spans="1:7" ns3:dyDescent="0.25">
      <c r="A257" t="s">
        <v>634</v>
      </c>
      <c r="B257">
        <v>219.0</v>
      </c>
      <c r="C257" s="2">
        <v>0.12</v>
      </c>
      <c r="D257">
        <v>50</v>
      </c>
      <c r="E257">
        <f t="shared" si="9"/>
        <v>1145.37</v>
      </c>
      <c r="F257">
        <f t="shared" si="10"/>
        <v>137.4444</v>
      </c>
      <c r="G257" s="3">
        <f t="shared" si="11"/>
        <v>1332.8144</v>
      </c>
    </row>
    <row r="258" spans="1:7" ns3:dyDescent="0.25">
      <c r="A258" t="s">
        <v>573</v>
      </c>
      <c r="B258">
        <v>147.0</v>
      </c>
      <c r="C258" s="2">
        <v>0.12</v>
      </c>
      <c r="D258">
        <v>50</v>
      </c>
      <c r="E258">
        <f t="shared" si="9"/>
        <v>768.81</v>
      </c>
      <c r="F258">
        <f t="shared" si="10"/>
        <v>92.2572</v>
      </c>
      <c r="G258" s="3">
        <f t="shared" si="11"/>
        <v>911.0672</v>
      </c>
    </row>
    <row r="259" spans="1:7" ns3:dyDescent="0.25">
      <c r="A259" t="s">
        <v>574</v>
      </c>
      <c r="B259">
        <v>97.0</v>
      </c>
      <c r="C259" s="2">
        <v>0.12</v>
      </c>
      <c r="D259">
        <v>50</v>
      </c>
      <c r="E259">
        <f t="shared" ref="E259:E322" si="12">5.23*B259</f>
        <v>507.31</v>
      </c>
      <c r="F259">
        <f t="shared" ref="F259:F322" si="13">E259*C259</f>
        <v>60.8772</v>
      </c>
      <c r="G259" s="3">
        <f t="shared" ref="G259:G322" si="14">F259+E259+D259</f>
        <v>618.1872</v>
      </c>
    </row>
    <row r="260" spans="1:7" ns3:dyDescent="0.25">
      <c r="A260" t="s">
        <v>575</v>
      </c>
      <c r="B260">
        <v>345.0</v>
      </c>
      <c r="C260" s="2">
        <v>0.12</v>
      </c>
      <c r="D260">
        <v>50</v>
      </c>
      <c r="E260">
        <f t="shared" si="12"/>
        <v>1804.35</v>
      </c>
      <c r="F260">
        <f t="shared" si="13"/>
        <v>216.522</v>
      </c>
      <c r="G260" s="3">
        <f t="shared" si="14"/>
        <v>2070.872</v>
      </c>
    </row>
    <row r="261" spans="1:7" ns3:dyDescent="0.25">
      <c r="A261" t="s">
        <v>576</v>
      </c>
      <c r="B261">
        <v>273.0</v>
      </c>
      <c r="C261" s="2">
        <v>0.12</v>
      </c>
      <c r="D261">
        <v>50</v>
      </c>
      <c r="E261">
        <f t="shared" si="12"/>
        <v>1427.79</v>
      </c>
      <c r="F261">
        <f t="shared" si="13"/>
        <v>171.3348</v>
      </c>
      <c r="G261" s="3">
        <f t="shared" si="14"/>
        <v>1649.1248</v>
      </c>
    </row>
    <row r="262" spans="1:7" ns3:dyDescent="0.25">
      <c r="A262" t="s">
        <v>577</v>
      </c>
      <c r="B262">
        <v>783.0</v>
      </c>
      <c r="C262" s="2">
        <v>0.12</v>
      </c>
      <c r="D262">
        <v>50</v>
      </c>
      <c r="E262">
        <f t="shared" si="12"/>
        <v>4095.09</v>
      </c>
      <c r="F262">
        <f t="shared" si="13"/>
        <v>491.4108</v>
      </c>
      <c r="G262" s="3">
        <f t="shared" si="14"/>
        <v>4636.5008</v>
      </c>
    </row>
    <row r="263" spans="1:7" ns3:dyDescent="0.25">
      <c r="A263" t="s">
        <v>578</v>
      </c>
      <c r="B263">
        <v>331.0</v>
      </c>
      <c r="C263" s="2">
        <v>0.12</v>
      </c>
      <c r="D263">
        <v>50</v>
      </c>
      <c r="E263">
        <f t="shared" si="12"/>
        <v>1731.13</v>
      </c>
      <c r="F263">
        <f t="shared" si="13"/>
        <v>207.7356</v>
      </c>
      <c r="G263" s="3">
        <f t="shared" si="14"/>
        <v>1988.8656</v>
      </c>
    </row>
    <row r="264" spans="1:7" ns3:dyDescent="0.25">
      <c r="A264" t="s">
        <v>579</v>
      </c>
      <c r="B264">
        <v>851.0</v>
      </c>
      <c r="C264" s="2">
        <v>0.12</v>
      </c>
      <c r="D264">
        <v>50</v>
      </c>
      <c r="E264">
        <f t="shared" si="12"/>
        <v>4450.73</v>
      </c>
      <c r="F264">
        <f t="shared" si="13"/>
        <v>534.0876</v>
      </c>
      <c r="G264" s="3">
        <f t="shared" si="14"/>
        <v>5034.8176</v>
      </c>
    </row>
    <row r="265" spans="1:7" ns3:dyDescent="0.25">
      <c r="A265" t="s">
        <v>580</v>
      </c>
      <c r="B265">
        <v>399.0</v>
      </c>
      <c r="C265" s="2">
        <v>0.12</v>
      </c>
      <c r="D265">
        <v>50</v>
      </c>
      <c r="E265">
        <f t="shared" si="12"/>
        <v>2086.77</v>
      </c>
      <c r="F265">
        <f t="shared" si="13"/>
        <v>250.4124</v>
      </c>
      <c r="G265" s="3">
        <f t="shared" si="14"/>
        <v>2387.1824</v>
      </c>
    </row>
    <row r="266" spans="1:7" ns3:dyDescent="0.25">
      <c r="A266" t="s">
        <v>581</v>
      </c>
      <c r="B266">
        <v>455.0</v>
      </c>
      <c r="C266" s="2">
        <v>0.12</v>
      </c>
      <c r="D266">
        <v>50</v>
      </c>
      <c r="E266">
        <f t="shared" si="12"/>
        <v>2379.65</v>
      </c>
      <c r="F266">
        <f t="shared" si="13"/>
        <v>285.558</v>
      </c>
      <c r="G266" s="3">
        <f t="shared" si="14"/>
        <v>2715.208</v>
      </c>
    </row>
    <row r="267" spans="1:7" ns3:dyDescent="0.25">
      <c r="A267" t="s">
        <v>773</v>
      </c>
      <c r="B267">
        <v>433.0</v>
      </c>
      <c r="C267" s="2">
        <v>0.12</v>
      </c>
      <c r="D267">
        <v>50</v>
      </c>
      <c r="E267">
        <f t="shared" si="12"/>
        <v>2264.59</v>
      </c>
      <c r="F267">
        <f t="shared" si="13"/>
        <v>271.7508</v>
      </c>
      <c r="G267" s="3">
        <f t="shared" si="14"/>
        <v>2586.3408</v>
      </c>
    </row>
    <row r="268" spans="1:7" ns3:dyDescent="0.25">
      <c r="A268" t="s">
        <v>774</v>
      </c>
      <c r="B268">
        <v>881.0</v>
      </c>
      <c r="C268" s="2">
        <v>0.12</v>
      </c>
      <c r="D268">
        <v>50</v>
      </c>
      <c r="E268">
        <f t="shared" si="12"/>
        <v>4607.63</v>
      </c>
      <c r="F268">
        <f t="shared" si="13"/>
        <v>552.9156</v>
      </c>
      <c r="G268" s="3">
        <f t="shared" si="14"/>
        <v>5210.5456</v>
      </c>
    </row>
    <row r="269" spans="1:7" ns3:dyDescent="0.25">
      <c r="A269" t="s">
        <v>775</v>
      </c>
      <c r="B269">
        <v>827.0</v>
      </c>
      <c r="C269" s="2">
        <v>0.12</v>
      </c>
      <c r="D269">
        <v>50</v>
      </c>
      <c r="E269">
        <f t="shared" si="12"/>
        <v>4325.21</v>
      </c>
      <c r="F269">
        <f t="shared" si="13"/>
        <v>519.0252</v>
      </c>
      <c r="G269" s="3">
        <f t="shared" si="14"/>
        <v>4894.2352</v>
      </c>
    </row>
    <row r="270" spans="1:7" ns3:dyDescent="0.25">
      <c r="A270" t="s">
        <v>267</v>
      </c>
      <c r="B270">
        <v>321.0</v>
      </c>
      <c r="C270" s="2">
        <v>0.12</v>
      </c>
      <c r="D270">
        <v>50</v>
      </c>
      <c r="E270">
        <f t="shared" si="12"/>
        <v>1678.83</v>
      </c>
      <c r="F270">
        <f t="shared" si="13"/>
        <v>201.4596</v>
      </c>
      <c r="G270" s="3">
        <f t="shared" si="14"/>
        <v>1930.2896</v>
      </c>
    </row>
    <row r="271" spans="1:7" ns3:dyDescent="0.25">
      <c r="A271" t="s">
        <v>776</v>
      </c>
      <c r="B271">
        <v>883.0</v>
      </c>
      <c r="C271" s="2">
        <v>0.12</v>
      </c>
      <c r="D271">
        <v>50</v>
      </c>
      <c r="E271">
        <f t="shared" si="12"/>
        <v>4618.09</v>
      </c>
      <c r="F271">
        <f t="shared" si="13"/>
        <v>554.1708</v>
      </c>
      <c r="G271" s="3">
        <f t="shared" si="14"/>
        <v>5222.2608</v>
      </c>
    </row>
    <row r="272" spans="1:7" ns3:dyDescent="0.25">
      <c r="A272" t="s">
        <v>777</v>
      </c>
      <c r="B272">
        <v>51.0</v>
      </c>
      <c r="C272" s="2">
        <v>0.12</v>
      </c>
      <c r="D272">
        <v>50</v>
      </c>
      <c r="E272">
        <f t="shared" si="12"/>
        <v>266.73</v>
      </c>
      <c r="F272">
        <f t="shared" si="13"/>
        <v>32.0076</v>
      </c>
      <c r="G272" s="3">
        <f t="shared" si="14"/>
        <v>348.7376</v>
      </c>
    </row>
    <row r="273" spans="1:7" ns3:dyDescent="0.25">
      <c r="A273" t="s">
        <v>635</v>
      </c>
      <c r="B273">
        <v>795.0</v>
      </c>
      <c r="C273" s="2">
        <v>0.12</v>
      </c>
      <c r="D273">
        <v>50</v>
      </c>
      <c r="E273">
        <f t="shared" si="12"/>
        <v>4157.85</v>
      </c>
      <c r="F273">
        <f t="shared" si="13"/>
        <v>498.942</v>
      </c>
      <c r="G273" s="3">
        <f t="shared" si="14"/>
        <v>4706.792</v>
      </c>
    </row>
    <row r="274" spans="1:7" ns3:dyDescent="0.25">
      <c r="A274" t="s">
        <v>636</v>
      </c>
      <c r="B274">
        <v>921.0</v>
      </c>
      <c r="C274" s="2">
        <v>0.12</v>
      </c>
      <c r="D274">
        <v>50</v>
      </c>
      <c r="E274">
        <f t="shared" si="12"/>
        <v>4816.83</v>
      </c>
      <c r="F274">
        <f t="shared" si="13"/>
        <v>578.0196</v>
      </c>
      <c r="G274" s="3">
        <f t="shared" si="14"/>
        <v>5444.8496</v>
      </c>
    </row>
    <row r="275" spans="1:7" ns3:dyDescent="0.25">
      <c r="A275" t="s">
        <v>637</v>
      </c>
      <c r="B275">
        <v>863.0</v>
      </c>
      <c r="C275" s="2">
        <v>0.12</v>
      </c>
      <c r="D275">
        <v>50</v>
      </c>
      <c r="E275">
        <f t="shared" si="12"/>
        <v>4513.49</v>
      </c>
      <c r="F275">
        <f t="shared" si="13"/>
        <v>541.6188</v>
      </c>
      <c r="G275" s="3">
        <f t="shared" si="14"/>
        <v>5105.1088</v>
      </c>
    </row>
    <row r="276" spans="1:7" ns3:dyDescent="0.25">
      <c r="A276" t="s">
        <v>778</v>
      </c>
      <c r="B276">
        <v>255.0</v>
      </c>
      <c r="C276" s="2">
        <v>0.12</v>
      </c>
      <c r="D276">
        <v>50</v>
      </c>
      <c r="E276">
        <f t="shared" si="12"/>
        <v>1333.65</v>
      </c>
      <c r="F276">
        <f t="shared" si="13"/>
        <v>160.038</v>
      </c>
      <c r="G276" s="3">
        <f t="shared" si="14"/>
        <v>1543.688</v>
      </c>
    </row>
    <row r="277" spans="1:7" ns3:dyDescent="0.25">
      <c r="A277" t="s">
        <v>779</v>
      </c>
      <c r="B277">
        <v>761.0</v>
      </c>
      <c r="C277" s="2">
        <v>0.12</v>
      </c>
      <c r="D277">
        <v>50</v>
      </c>
      <c r="E277">
        <f t="shared" si="12"/>
        <v>3980.03</v>
      </c>
      <c r="F277">
        <f t="shared" si="13"/>
        <v>477.6036</v>
      </c>
      <c r="G277" s="3">
        <f t="shared" si="14"/>
        <v>4507.6336</v>
      </c>
    </row>
    <row r="278" spans="1:7" ns3:dyDescent="0.25">
      <c r="A278" t="s">
        <v>780</v>
      </c>
      <c r="B278">
        <v>531.0</v>
      </c>
      <c r="C278" s="2">
        <v>0.12</v>
      </c>
      <c r="D278">
        <v>50</v>
      </c>
      <c r="E278">
        <f t="shared" si="12"/>
        <v>2777.13</v>
      </c>
      <c r="F278">
        <f t="shared" si="13"/>
        <v>333.2556</v>
      </c>
      <c r="G278" s="3">
        <f t="shared" si="14"/>
        <v>3160.3856</v>
      </c>
    </row>
    <row r="279" spans="1:7" ns3:dyDescent="0.25">
      <c r="A279" t="s">
        <v>781</v>
      </c>
      <c r="B279">
        <v>313.0</v>
      </c>
      <c r="C279" s="2">
        <v>0.12</v>
      </c>
      <c r="D279">
        <v>50</v>
      </c>
      <c r="E279">
        <f t="shared" si="12"/>
        <v>1636.99</v>
      </c>
      <c r="F279">
        <f t="shared" si="13"/>
        <v>196.4388</v>
      </c>
      <c r="G279" s="3">
        <f t="shared" si="14"/>
        <v>1883.4288</v>
      </c>
    </row>
    <row r="280" spans="1:7" ns3:dyDescent="0.25">
      <c r="A280" t="s">
        <v>782</v>
      </c>
      <c r="B280">
        <v>937.0</v>
      </c>
      <c r="C280" s="2">
        <v>0.12</v>
      </c>
      <c r="D280">
        <v>50</v>
      </c>
      <c r="E280">
        <f t="shared" si="12"/>
        <v>4900.51</v>
      </c>
      <c r="F280">
        <f t="shared" si="13"/>
        <v>588.0612</v>
      </c>
      <c r="G280" s="3">
        <f t="shared" si="14"/>
        <v>5538.5712</v>
      </c>
    </row>
    <row r="281" spans="1:7" ns3:dyDescent="0.25">
      <c r="A281" t="s">
        <v>783</v>
      </c>
      <c r="B281">
        <v>939.0</v>
      </c>
      <c r="C281" s="2">
        <v>0.12</v>
      </c>
      <c r="D281">
        <v>50</v>
      </c>
      <c r="E281">
        <f t="shared" si="12"/>
        <v>4910.97</v>
      </c>
      <c r="F281">
        <f t="shared" si="13"/>
        <v>589.3164</v>
      </c>
      <c r="G281" s="3">
        <f t="shared" si="14"/>
        <v>5550.2864</v>
      </c>
    </row>
    <row r="282" spans="1:7" ns3:dyDescent="0.25">
      <c r="A282" t="s">
        <v>784</v>
      </c>
      <c r="B282">
        <v>909.0</v>
      </c>
      <c r="C282" s="2">
        <v>0.12</v>
      </c>
      <c r="D282">
        <v>50</v>
      </c>
      <c r="E282">
        <f t="shared" si="12"/>
        <v>4754.07</v>
      </c>
      <c r="F282">
        <f t="shared" si="13"/>
        <v>570.4884</v>
      </c>
      <c r="G282" s="3">
        <f t="shared" si="14"/>
        <v>5374.5584</v>
      </c>
    </row>
    <row r="283" spans="1:7" ns3:dyDescent="0.25">
      <c r="A283" t="s">
        <v>785</v>
      </c>
      <c r="B283">
        <v>103.0</v>
      </c>
      <c r="C283" s="2">
        <v>0.12</v>
      </c>
      <c r="D283">
        <v>50</v>
      </c>
      <c r="E283">
        <f t="shared" si="12"/>
        <v>538.69</v>
      </c>
      <c r="F283">
        <f t="shared" si="13"/>
        <v>64.6428</v>
      </c>
      <c r="G283" s="3">
        <f t="shared" si="14"/>
        <v>653.3328</v>
      </c>
    </row>
    <row r="284" spans="1:7" ns3:dyDescent="0.25">
      <c r="A284" t="s">
        <v>268</v>
      </c>
      <c r="B284">
        <v>351.0</v>
      </c>
      <c r="C284" s="2">
        <v>0.12</v>
      </c>
      <c r="D284">
        <v>50</v>
      </c>
      <c r="E284">
        <f t="shared" si="12"/>
        <v>1835.73</v>
      </c>
      <c r="F284">
        <f t="shared" si="13"/>
        <v>220.2876</v>
      </c>
      <c r="G284" s="3">
        <f t="shared" si="14"/>
        <v>2106.0176</v>
      </c>
    </row>
    <row r="285" spans="1:7" ns3:dyDescent="0.25">
      <c r="A285" t="s">
        <v>786</v>
      </c>
      <c r="B285">
        <v>935.0</v>
      </c>
      <c r="C285" s="2">
        <v>0.12</v>
      </c>
      <c r="D285">
        <v>50</v>
      </c>
      <c r="E285">
        <f t="shared" si="12"/>
        <v>4890.05</v>
      </c>
      <c r="F285">
        <f t="shared" si="13"/>
        <v>586.806</v>
      </c>
      <c r="G285" s="3">
        <f t="shared" si="14"/>
        <v>5526.856</v>
      </c>
    </row>
    <row r="286" spans="1:7" ns3:dyDescent="0.25">
      <c r="A286" t="s">
        <v>582</v>
      </c>
      <c r="B286">
        <v>409.0</v>
      </c>
      <c r="C286" s="2">
        <v>0.12</v>
      </c>
      <c r="D286">
        <v>50</v>
      </c>
      <c r="E286">
        <f t="shared" si="12"/>
        <v>2139.07</v>
      </c>
      <c r="F286">
        <f t="shared" si="13"/>
        <v>256.6884</v>
      </c>
      <c r="G286" s="3">
        <f t="shared" si="14"/>
        <v>2445.7584</v>
      </c>
    </row>
    <row r="287" spans="1:7" ns3:dyDescent="0.25">
      <c r="A287" t="s">
        <v>269</v>
      </c>
      <c r="B287">
        <v>679.0</v>
      </c>
      <c r="C287" s="2">
        <v>0.12</v>
      </c>
      <c r="D287">
        <v>50</v>
      </c>
      <c r="E287">
        <f t="shared" si="12"/>
        <v>3551.17</v>
      </c>
      <c r="F287">
        <f t="shared" si="13"/>
        <v>426.1404</v>
      </c>
      <c r="G287" s="3">
        <f t="shared" si="14"/>
        <v>4027.3104</v>
      </c>
    </row>
    <row r="288" spans="1:7" ns3:dyDescent="0.25">
      <c r="A288" t="s">
        <v>270</v>
      </c>
      <c r="B288">
        <v>737.0</v>
      </c>
      <c r="C288" s="2">
        <v>0.12</v>
      </c>
      <c r="D288">
        <v>50</v>
      </c>
      <c r="E288">
        <f t="shared" si="12"/>
        <v>3854.51</v>
      </c>
      <c r="F288">
        <f t="shared" si="13"/>
        <v>462.5412</v>
      </c>
      <c r="G288" s="3">
        <f t="shared" si="14"/>
        <v>4367.0512</v>
      </c>
    </row>
    <row r="289" spans="1:7" ns3:dyDescent="0.25">
      <c r="A289" t="s">
        <v>271</v>
      </c>
      <c r="B289">
        <v>795.0</v>
      </c>
      <c r="C289" s="2">
        <v>0.12</v>
      </c>
      <c r="D289">
        <v>50</v>
      </c>
      <c r="E289">
        <f t="shared" si="12"/>
        <v>4157.85</v>
      </c>
      <c r="F289">
        <f t="shared" si="13"/>
        <v>498.942</v>
      </c>
      <c r="G289" s="3">
        <f t="shared" si="14"/>
        <v>4706.792</v>
      </c>
    </row>
    <row r="290" spans="1:7" ns3:dyDescent="0.25">
      <c r="A290" t="s">
        <v>272</v>
      </c>
      <c r="B290">
        <v>131.0</v>
      </c>
      <c r="C290" s="2">
        <v>0.12</v>
      </c>
      <c r="D290">
        <v>50</v>
      </c>
      <c r="E290">
        <f t="shared" si="12"/>
        <v>685.13</v>
      </c>
      <c r="F290">
        <f t="shared" si="13"/>
        <v>82.2156</v>
      </c>
      <c r="G290" s="3">
        <f t="shared" si="14"/>
        <v>817.3456</v>
      </c>
    </row>
    <row r="291" spans="1:7" ns3:dyDescent="0.25">
      <c r="A291" t="s">
        <v>273</v>
      </c>
      <c r="B291">
        <v>327.0</v>
      </c>
      <c r="C291" s="2">
        <v>0.12</v>
      </c>
      <c r="D291">
        <v>50</v>
      </c>
      <c r="E291">
        <f t="shared" si="12"/>
        <v>1710.21</v>
      </c>
      <c r="F291">
        <f t="shared" si="13"/>
        <v>205.2252</v>
      </c>
      <c r="G291" s="3">
        <f t="shared" si="14"/>
        <v>1965.4352</v>
      </c>
    </row>
    <row r="292" spans="1:7" ns3:dyDescent="0.25">
      <c r="A292" t="s">
        <v>274</v>
      </c>
      <c r="B292">
        <v>609.0</v>
      </c>
      <c r="C292" s="2">
        <v>0.12</v>
      </c>
      <c r="D292">
        <v>50</v>
      </c>
      <c r="E292">
        <f t="shared" si="12"/>
        <v>3185.07</v>
      </c>
      <c r="F292">
        <f t="shared" si="13"/>
        <v>382.2084</v>
      </c>
      <c r="G292" s="3">
        <f t="shared" si="14"/>
        <v>3617.2784</v>
      </c>
    </row>
    <row r="293" spans="1:7" ns3:dyDescent="0.25">
      <c r="A293" t="s">
        <v>275</v>
      </c>
      <c r="B293">
        <v>173.0</v>
      </c>
      <c r="C293" s="2">
        <v>0.12</v>
      </c>
      <c r="D293">
        <v>50</v>
      </c>
      <c r="E293">
        <f t="shared" si="12"/>
        <v>904.79</v>
      </c>
      <c r="F293">
        <f t="shared" si="13"/>
        <v>108.5748</v>
      </c>
      <c r="G293" s="3">
        <f t="shared" si="14"/>
        <v>1063.3648</v>
      </c>
    </row>
    <row r="294" spans="1:7" ns3:dyDescent="0.25">
      <c r="A294" t="s">
        <v>276</v>
      </c>
      <c r="B294">
        <v>407.0</v>
      </c>
      <c r="C294" s="2">
        <v>0.12</v>
      </c>
      <c r="D294">
        <v>50</v>
      </c>
      <c r="E294">
        <f t="shared" si="12"/>
        <v>2128.61</v>
      </c>
      <c r="F294">
        <f t="shared" si="13"/>
        <v>255.4332</v>
      </c>
      <c r="G294" s="3">
        <f t="shared" si="14"/>
        <v>2434.0432</v>
      </c>
    </row>
    <row r="295" spans="1:7" ns3:dyDescent="0.25">
      <c r="A295" t="s">
        <v>277</v>
      </c>
      <c r="B295">
        <v>725.0</v>
      </c>
      <c r="C295" s="2">
        <v>0.12</v>
      </c>
      <c r="D295">
        <v>50</v>
      </c>
      <c r="E295">
        <f t="shared" si="12"/>
        <v>3791.75</v>
      </c>
      <c r="F295">
        <f t="shared" si="13"/>
        <v>455.01</v>
      </c>
      <c r="G295" s="3">
        <f t="shared" si="14"/>
        <v>4296.76</v>
      </c>
    </row>
    <row r="296" spans="1:7" ns3:dyDescent="0.25">
      <c r="A296" t="s">
        <v>278</v>
      </c>
      <c r="B296">
        <v>273.0</v>
      </c>
      <c r="C296" s="2">
        <v>0.12</v>
      </c>
      <c r="D296">
        <v>50</v>
      </c>
      <c r="E296">
        <f t="shared" si="12"/>
        <v>1427.79</v>
      </c>
      <c r="F296">
        <f t="shared" si="13"/>
        <v>171.3348</v>
      </c>
      <c r="G296" s="3">
        <f t="shared" si="14"/>
        <v>1649.1248</v>
      </c>
    </row>
    <row r="297" spans="1:7" ns3:dyDescent="0.25">
      <c r="A297" t="s">
        <v>279</v>
      </c>
      <c r="B297">
        <v>667.0</v>
      </c>
      <c r="C297" s="2">
        <v>0.12</v>
      </c>
      <c r="D297">
        <v>50</v>
      </c>
      <c r="E297">
        <f t="shared" si="12"/>
        <v>3488.41</v>
      </c>
      <c r="F297">
        <f t="shared" si="13"/>
        <v>418.6092</v>
      </c>
      <c r="G297" s="3">
        <f t="shared" si="14"/>
        <v>3957.0192</v>
      </c>
    </row>
    <row r="298" spans="1:7" ns3:dyDescent="0.25">
      <c r="A298" t="s">
        <v>280</v>
      </c>
      <c r="B298">
        <v>809.0</v>
      </c>
      <c r="C298" s="2">
        <v>0.12</v>
      </c>
      <c r="D298">
        <v>50</v>
      </c>
      <c r="E298">
        <f t="shared" si="12"/>
        <v>4231.07</v>
      </c>
      <c r="F298">
        <f t="shared" si="13"/>
        <v>507.7284</v>
      </c>
      <c r="G298" s="3">
        <f t="shared" si="14"/>
        <v>4788.7984</v>
      </c>
    </row>
    <row r="299" spans="1:7" ns3:dyDescent="0.25">
      <c r="A299" t="s">
        <v>281</v>
      </c>
      <c r="B299">
        <v>925.0</v>
      </c>
      <c r="C299" s="2">
        <v>0.12</v>
      </c>
      <c r="D299">
        <v>50</v>
      </c>
      <c r="E299">
        <f t="shared" si="12"/>
        <v>4837.75</v>
      </c>
      <c r="F299">
        <f t="shared" si="13"/>
        <v>580.53</v>
      </c>
      <c r="G299" s="3">
        <f t="shared" si="14"/>
        <v>5468.28</v>
      </c>
    </row>
    <row r="300" spans="1:7" ns3:dyDescent="0.25">
      <c r="A300" t="s">
        <v>282</v>
      </c>
      <c r="B300">
        <v>373.0</v>
      </c>
      <c r="C300" s="2">
        <v>0.12</v>
      </c>
      <c r="D300">
        <v>50</v>
      </c>
      <c r="E300">
        <f t="shared" si="12"/>
        <v>1950.79</v>
      </c>
      <c r="F300">
        <f t="shared" si="13"/>
        <v>234.0948</v>
      </c>
      <c r="G300" s="3">
        <f t="shared" si="14"/>
        <v>2234.8848</v>
      </c>
    </row>
    <row r="301" spans="1:7" ns3:dyDescent="0.25">
      <c r="A301" t="s">
        <v>283</v>
      </c>
      <c r="B301">
        <v>633.0</v>
      </c>
      <c r="C301" s="2">
        <v>0.12</v>
      </c>
      <c r="D301">
        <v>50</v>
      </c>
      <c r="E301">
        <f t="shared" si="12"/>
        <v>3310.59</v>
      </c>
      <c r="F301">
        <f t="shared" si="13"/>
        <v>397.2708</v>
      </c>
      <c r="G301" s="3">
        <f t="shared" si="14"/>
        <v>3757.8608</v>
      </c>
    </row>
    <row r="302" spans="1:7" ns3:dyDescent="0.25">
      <c r="A302" t="s">
        <v>284</v>
      </c>
      <c r="B302">
        <v>523.0</v>
      </c>
      <c r="C302" s="2">
        <v>0.12</v>
      </c>
      <c r="D302">
        <v>50</v>
      </c>
      <c r="E302">
        <f t="shared" si="12"/>
        <v>2735.29</v>
      </c>
      <c r="F302">
        <f t="shared" si="13"/>
        <v>328.2348</v>
      </c>
      <c r="G302" s="3">
        <f t="shared" si="14"/>
        <v>3113.5248</v>
      </c>
    </row>
    <row r="303" spans="1:7" ns3:dyDescent="0.25">
      <c r="A303" t="s">
        <v>285</v>
      </c>
      <c r="B303">
        <v>555.0</v>
      </c>
      <c r="C303" s="2">
        <v>0.12</v>
      </c>
      <c r="D303">
        <v>50</v>
      </c>
      <c r="E303">
        <f t="shared" si="12"/>
        <v>2902.65</v>
      </c>
      <c r="F303">
        <f t="shared" si="13"/>
        <v>348.318</v>
      </c>
      <c r="G303" s="3">
        <f t="shared" si="14"/>
        <v>3300.968</v>
      </c>
    </row>
    <row r="304" spans="1:7" ns3:dyDescent="0.25">
      <c r="A304" t="s">
        <v>286</v>
      </c>
      <c r="B304">
        <v>225.0</v>
      </c>
      <c r="C304" s="2">
        <v>0.12</v>
      </c>
      <c r="D304">
        <v>50</v>
      </c>
      <c r="E304">
        <f t="shared" si="12"/>
        <v>1176.75</v>
      </c>
      <c r="F304">
        <f t="shared" si="13"/>
        <v>141.21</v>
      </c>
      <c r="G304" s="3">
        <f t="shared" si="14"/>
        <v>1367.96</v>
      </c>
    </row>
    <row r="305" spans="1:7" ns3:dyDescent="0.25">
      <c r="A305" t="s">
        <v>287</v>
      </c>
      <c r="B305">
        <v>597.0</v>
      </c>
      <c r="C305" s="2">
        <v>0.12</v>
      </c>
      <c r="D305">
        <v>50</v>
      </c>
      <c r="E305">
        <f t="shared" si="12"/>
        <v>3122.31</v>
      </c>
      <c r="F305">
        <f t="shared" si="13"/>
        <v>374.6772</v>
      </c>
      <c r="G305" s="3">
        <f t="shared" si="14"/>
        <v>3546.9872</v>
      </c>
    </row>
    <row r="306" spans="1:7" ns3:dyDescent="0.25">
      <c r="A306" t="s">
        <v>288</v>
      </c>
      <c r="B306">
        <v>581.0</v>
      </c>
      <c r="C306" s="2">
        <v>0.12</v>
      </c>
      <c r="D306">
        <v>50</v>
      </c>
      <c r="E306">
        <f t="shared" si="12"/>
        <v>3038.63</v>
      </c>
      <c r="F306">
        <f t="shared" si="13"/>
        <v>364.6356</v>
      </c>
      <c r="G306" s="3">
        <f t="shared" si="14"/>
        <v>3453.2656</v>
      </c>
    </row>
    <row r="307" spans="1:7" ns3:dyDescent="0.25">
      <c r="A307" t="s">
        <v>289</v>
      </c>
      <c r="B307">
        <v>739.0</v>
      </c>
      <c r="C307" s="2">
        <v>0.12</v>
      </c>
      <c r="D307">
        <v>50</v>
      </c>
      <c r="E307">
        <f t="shared" si="12"/>
        <v>3864.97</v>
      </c>
      <c r="F307">
        <f t="shared" si="13"/>
        <v>463.7964</v>
      </c>
      <c r="G307" s="3">
        <f t="shared" si="14"/>
        <v>4378.7664</v>
      </c>
    </row>
    <row r="308" spans="1:7" ns3:dyDescent="0.25">
      <c r="A308" t="s">
        <v>583</v>
      </c>
      <c r="B308">
        <v>459.0</v>
      </c>
      <c r="C308" s="2">
        <v>0.12</v>
      </c>
      <c r="D308">
        <v>50</v>
      </c>
      <c r="E308">
        <f t="shared" si="12"/>
        <v>2400.57</v>
      </c>
      <c r="F308">
        <f t="shared" si="13"/>
        <v>288.0684</v>
      </c>
      <c r="G308" s="3">
        <f t="shared" si="14"/>
        <v>2738.6384</v>
      </c>
    </row>
    <row r="309" spans="1:7" ns3:dyDescent="0.25">
      <c r="A309" t="s">
        <v>290</v>
      </c>
      <c r="B309">
        <v>315.0</v>
      </c>
      <c r="C309" s="2">
        <v>0.12</v>
      </c>
      <c r="D309">
        <v>50</v>
      </c>
      <c r="E309">
        <f t="shared" si="12"/>
        <v>1647.45</v>
      </c>
      <c r="F309">
        <f t="shared" si="13"/>
        <v>197.694</v>
      </c>
      <c r="G309" s="3">
        <f t="shared" si="14"/>
        <v>1895.144</v>
      </c>
    </row>
    <row r="310" spans="1:7" ns3:dyDescent="0.25">
      <c r="A310" t="s">
        <v>787</v>
      </c>
      <c r="B310">
        <v>637.0</v>
      </c>
      <c r="C310" s="2">
        <v>0.12</v>
      </c>
      <c r="D310">
        <v>50</v>
      </c>
      <c r="E310">
        <f t="shared" si="12"/>
        <v>3331.51</v>
      </c>
      <c r="F310">
        <f t="shared" si="13"/>
        <v>399.7812</v>
      </c>
      <c r="G310" s="3">
        <f t="shared" si="14"/>
        <v>3781.2912</v>
      </c>
    </row>
    <row r="311" spans="1:7" ns3:dyDescent="0.25">
      <c r="A311" t="s">
        <v>788</v>
      </c>
      <c r="B311">
        <v>255.0</v>
      </c>
      <c r="C311" s="2">
        <v>0.12</v>
      </c>
      <c r="D311">
        <v>50</v>
      </c>
      <c r="E311">
        <f t="shared" si="12"/>
        <v>1333.65</v>
      </c>
      <c r="F311">
        <f t="shared" si="13"/>
        <v>160.038</v>
      </c>
      <c r="G311" s="3">
        <f t="shared" si="14"/>
        <v>1543.688</v>
      </c>
    </row>
    <row r="312" spans="1:7" ns3:dyDescent="0.25">
      <c r="A312" t="s">
        <v>789</v>
      </c>
      <c r="B312">
        <v>551.0</v>
      </c>
      <c r="C312" s="2">
        <v>0.12</v>
      </c>
      <c r="D312">
        <v>50</v>
      </c>
      <c r="E312">
        <f t="shared" si="12"/>
        <v>2881.73</v>
      </c>
      <c r="F312">
        <f t="shared" si="13"/>
        <v>345.8076</v>
      </c>
      <c r="G312" s="3">
        <f t="shared" si="14"/>
        <v>3277.5376</v>
      </c>
    </row>
    <row r="313" spans="1:7" ns3:dyDescent="0.25">
      <c r="A313" t="s">
        <v>790</v>
      </c>
      <c r="B313">
        <v>885.0</v>
      </c>
      <c r="C313" s="2">
        <v>0.12</v>
      </c>
      <c r="D313">
        <v>50</v>
      </c>
      <c r="E313">
        <f t="shared" si="12"/>
        <v>4628.55</v>
      </c>
      <c r="F313">
        <f t="shared" si="13"/>
        <v>555.426</v>
      </c>
      <c r="G313" s="3">
        <f t="shared" si="14"/>
        <v>5233.976</v>
      </c>
    </row>
    <row r="314" spans="1:7" ns3:dyDescent="0.25">
      <c r="A314" t="s">
        <v>791</v>
      </c>
      <c r="B314">
        <v>855.0</v>
      </c>
      <c r="C314" s="2">
        <v>0.12</v>
      </c>
      <c r="D314">
        <v>50</v>
      </c>
      <c r="E314">
        <f t="shared" si="12"/>
        <v>4471.65</v>
      </c>
      <c r="F314">
        <f t="shared" si="13"/>
        <v>536.598</v>
      </c>
      <c r="G314" s="3">
        <f t="shared" si="14"/>
        <v>5058.248</v>
      </c>
    </row>
    <row r="315" spans="1:7" ns3:dyDescent="0.25">
      <c r="A315" t="s">
        <v>792</v>
      </c>
      <c r="B315">
        <v>695.0</v>
      </c>
      <c r="C315" s="2">
        <v>0.12</v>
      </c>
      <c r="D315">
        <v>50</v>
      </c>
      <c r="E315">
        <f t="shared" si="12"/>
        <v>3634.85</v>
      </c>
      <c r="F315">
        <f t="shared" si="13"/>
        <v>436.182</v>
      </c>
      <c r="G315" s="3">
        <f t="shared" si="14"/>
        <v>4121.032</v>
      </c>
    </row>
    <row r="316" spans="1:7" ns3:dyDescent="0.25">
      <c r="A316" t="s">
        <v>793</v>
      </c>
      <c r="B316">
        <v>493.0</v>
      </c>
      <c r="C316" s="2">
        <v>0.12</v>
      </c>
      <c r="D316">
        <v>50</v>
      </c>
      <c r="E316">
        <f t="shared" si="12"/>
        <v>2578.39</v>
      </c>
      <c r="F316">
        <f t="shared" si="13"/>
        <v>309.4068</v>
      </c>
      <c r="G316" s="3">
        <f t="shared" si="14"/>
        <v>2937.7968</v>
      </c>
    </row>
    <row r="317" spans="1:7" ns3:dyDescent="0.25">
      <c r="A317" t="s">
        <v>794</v>
      </c>
      <c r="B317">
        <v>763.0</v>
      </c>
      <c r="C317" s="2">
        <v>0.12</v>
      </c>
      <c r="D317">
        <v>50</v>
      </c>
      <c r="E317">
        <f t="shared" si="12"/>
        <v>3990.49</v>
      </c>
      <c r="F317">
        <f t="shared" si="13"/>
        <v>478.8588</v>
      </c>
      <c r="G317" s="3">
        <f t="shared" si="14"/>
        <v>4519.3488</v>
      </c>
    </row>
    <row r="318" spans="1:7" ns3:dyDescent="0.25">
      <c r="A318" t="s">
        <v>795</v>
      </c>
      <c r="B318">
        <v>97.0</v>
      </c>
      <c r="C318" s="2">
        <v>0.12</v>
      </c>
      <c r="D318">
        <v>50</v>
      </c>
      <c r="E318">
        <f t="shared" si="12"/>
        <v>507.31</v>
      </c>
      <c r="F318">
        <f t="shared" si="13"/>
        <v>60.8772</v>
      </c>
      <c r="G318" s="3">
        <f t="shared" si="14"/>
        <v>618.1872</v>
      </c>
    </row>
    <row r="319" spans="1:7" ns3:dyDescent="0.25">
      <c r="A319" t="s">
        <v>584</v>
      </c>
      <c r="B319">
        <v>59.0</v>
      </c>
      <c r="C319" s="2">
        <v>0.12</v>
      </c>
      <c r="D319">
        <v>50</v>
      </c>
      <c r="E319">
        <f t="shared" si="12"/>
        <v>308.57</v>
      </c>
      <c r="F319">
        <f t="shared" si="13"/>
        <v>37.0284</v>
      </c>
      <c r="G319" s="3">
        <f t="shared" si="14"/>
        <v>395.5984</v>
      </c>
    </row>
    <row r="320" spans="1:7" ns3:dyDescent="0.25">
      <c r="A320" t="s">
        <v>291</v>
      </c>
      <c r="B320">
        <v>821.0</v>
      </c>
      <c r="C320" s="2">
        <v>0.12</v>
      </c>
      <c r="D320">
        <v>50</v>
      </c>
      <c r="E320">
        <f t="shared" si="12"/>
        <v>4293.83</v>
      </c>
      <c r="F320">
        <f t="shared" si="13"/>
        <v>515.2596</v>
      </c>
      <c r="G320" s="3">
        <f t="shared" si="14"/>
        <v>4859.0896</v>
      </c>
    </row>
    <row r="321" spans="1:7" ns3:dyDescent="0.25">
      <c r="A321" t="s">
        <v>292</v>
      </c>
      <c r="B321">
        <v>311.0</v>
      </c>
      <c r="C321" s="2">
        <v>0.12</v>
      </c>
      <c r="D321">
        <v>50</v>
      </c>
      <c r="E321">
        <f t="shared" si="12"/>
        <v>1626.53</v>
      </c>
      <c r="F321">
        <f t="shared" si="13"/>
        <v>195.1836</v>
      </c>
      <c r="G321" s="3">
        <f t="shared" si="14"/>
        <v>1871.7136</v>
      </c>
    </row>
    <row r="322" spans="1:7" ns3:dyDescent="0.25">
      <c r="A322" t="s">
        <v>585</v>
      </c>
      <c r="B322">
        <v>635.0</v>
      </c>
      <c r="C322" s="2">
        <v>0.12</v>
      </c>
      <c r="D322">
        <v>50</v>
      </c>
      <c r="E322">
        <f t="shared" si="12"/>
        <v>3321.05</v>
      </c>
      <c r="F322">
        <f t="shared" si="13"/>
        <v>398.526</v>
      </c>
      <c r="G322" s="3">
        <f t="shared" si="14"/>
        <v>3769.576</v>
      </c>
    </row>
    <row r="323" spans="1:7" ns3:dyDescent="0.25">
      <c r="A323" t="s">
        <v>293</v>
      </c>
      <c r="B323">
        <v>759.0</v>
      </c>
      <c r="C323" s="2">
        <v>0.12</v>
      </c>
      <c r="D323">
        <v>50</v>
      </c>
      <c r="E323">
        <f t="shared" ref="E323:E386" si="15">5.23*B323</f>
        <v>3969.57</v>
      </c>
      <c r="F323">
        <f t="shared" ref="F323:F386" si="16">E323*C323</f>
        <v>476.3484</v>
      </c>
      <c r="G323" s="3">
        <f t="shared" ref="G323:G386" si="17">F323+E323+D323</f>
        <v>4495.9184</v>
      </c>
    </row>
    <row r="324" spans="1:7" ns3:dyDescent="0.25">
      <c r="A324" t="s">
        <v>294</v>
      </c>
      <c r="B324">
        <v>403.0</v>
      </c>
      <c r="C324" s="2">
        <v>0.12</v>
      </c>
      <c r="D324">
        <v>50</v>
      </c>
      <c r="E324">
        <f t="shared" si="15"/>
        <v>2107.69</v>
      </c>
      <c r="F324">
        <f t="shared" si="16"/>
        <v>252.9228</v>
      </c>
      <c r="G324" s="3">
        <f t="shared" si="17"/>
        <v>2410.6128</v>
      </c>
    </row>
    <row r="325" spans="1:7" ns3:dyDescent="0.25">
      <c r="A325" t="s">
        <v>295</v>
      </c>
      <c r="B325">
        <v>653.0</v>
      </c>
      <c r="C325" s="2">
        <v>0.12</v>
      </c>
      <c r="D325">
        <v>50</v>
      </c>
      <c r="E325">
        <f t="shared" si="15"/>
        <v>3415.19</v>
      </c>
      <c r="F325">
        <f t="shared" si="16"/>
        <v>409.8228</v>
      </c>
      <c r="G325" s="3">
        <f t="shared" si="17"/>
        <v>3875.0128</v>
      </c>
    </row>
    <row r="326" spans="1:7" ns3:dyDescent="0.25">
      <c r="A326" t="s">
        <v>296</v>
      </c>
      <c r="B326">
        <v>947.0</v>
      </c>
      <c r="C326" s="2">
        <v>0.12</v>
      </c>
      <c r="D326">
        <v>50</v>
      </c>
      <c r="E326">
        <f t="shared" si="15"/>
        <v>4952.81</v>
      </c>
      <c r="F326">
        <f t="shared" si="16"/>
        <v>594.3372</v>
      </c>
      <c r="G326" s="3">
        <f t="shared" si="17"/>
        <v>5597.1472</v>
      </c>
    </row>
    <row r="327" spans="1:7" ns3:dyDescent="0.25">
      <c r="A327" t="s">
        <v>796</v>
      </c>
      <c r="B327">
        <v>495.0</v>
      </c>
      <c r="C327" s="2">
        <v>0.12</v>
      </c>
      <c r="D327">
        <v>50</v>
      </c>
      <c r="E327">
        <f t="shared" si="15"/>
        <v>2588.85</v>
      </c>
      <c r="F327">
        <f t="shared" si="16"/>
        <v>310.662</v>
      </c>
      <c r="G327" s="3">
        <f t="shared" si="17"/>
        <v>2949.512</v>
      </c>
    </row>
    <row r="328" spans="1:7" ns3:dyDescent="0.25">
      <c r="A328" t="s">
        <v>663</v>
      </c>
      <c r="B328">
        <v>461.0</v>
      </c>
      <c r="C328" s="2">
        <v>0.12</v>
      </c>
      <c r="D328">
        <v>50</v>
      </c>
      <c r="E328">
        <f t="shared" si="15"/>
        <v>2411.03</v>
      </c>
      <c r="F328">
        <f t="shared" si="16"/>
        <v>289.3236</v>
      </c>
      <c r="G328" s="3">
        <f t="shared" si="17"/>
        <v>2750.3536</v>
      </c>
    </row>
    <row r="329" spans="1:7" ns3:dyDescent="0.25">
      <c r="A329" t="s">
        <v>586</v>
      </c>
      <c r="B329">
        <v>671.0</v>
      </c>
      <c r="C329" s="2">
        <v>0.12</v>
      </c>
      <c r="D329">
        <v>50</v>
      </c>
      <c r="E329">
        <f t="shared" si="15"/>
        <v>3509.33</v>
      </c>
      <c r="F329">
        <f t="shared" si="16"/>
        <v>421.1196</v>
      </c>
      <c r="G329" s="3">
        <f t="shared" si="17"/>
        <v>3980.4496</v>
      </c>
    </row>
    <row r="330" spans="1:7" ns3:dyDescent="0.25">
      <c r="A330" t="s">
        <v>297</v>
      </c>
      <c r="B330">
        <v>615.0</v>
      </c>
      <c r="C330" s="2">
        <v>0.12</v>
      </c>
      <c r="D330">
        <v>50</v>
      </c>
      <c r="E330">
        <f t="shared" si="15"/>
        <v>3216.45</v>
      </c>
      <c r="F330">
        <f t="shared" si="16"/>
        <v>385.974</v>
      </c>
      <c r="G330" s="3">
        <f t="shared" si="17"/>
        <v>3652.424</v>
      </c>
    </row>
    <row r="331" spans="1:7" ns3:dyDescent="0.25">
      <c r="A331" t="s">
        <v>298</v>
      </c>
      <c r="B331">
        <v>729.0</v>
      </c>
      <c r="C331" s="2">
        <v>0.12</v>
      </c>
      <c r="D331">
        <v>50</v>
      </c>
      <c r="E331">
        <f t="shared" si="15"/>
        <v>3812.67</v>
      </c>
      <c r="F331">
        <f t="shared" si="16"/>
        <v>457.5204</v>
      </c>
      <c r="G331" s="3">
        <f t="shared" si="17"/>
        <v>4320.1904</v>
      </c>
    </row>
    <row r="332" spans="1:7" ns3:dyDescent="0.25">
      <c r="A332" t="s">
        <v>299</v>
      </c>
      <c r="B332">
        <v>727.0</v>
      </c>
      <c r="C332" s="2">
        <v>0.12</v>
      </c>
      <c r="D332">
        <v>50</v>
      </c>
      <c r="E332">
        <f t="shared" si="15"/>
        <v>3802.21</v>
      </c>
      <c r="F332">
        <f t="shared" si="16"/>
        <v>456.2652</v>
      </c>
      <c r="G332" s="3">
        <f t="shared" si="17"/>
        <v>4308.4752</v>
      </c>
    </row>
    <row r="333" spans="1:7" ns3:dyDescent="0.25">
      <c r="A333" t="s">
        <v>300</v>
      </c>
      <c r="B333">
        <v>797.0</v>
      </c>
      <c r="C333" s="2">
        <v>0.12</v>
      </c>
      <c r="D333">
        <v>50</v>
      </c>
      <c r="E333">
        <f t="shared" si="15"/>
        <v>4168.31</v>
      </c>
      <c r="F333">
        <f t="shared" si="16"/>
        <v>500.1972</v>
      </c>
      <c r="G333" s="3">
        <f t="shared" si="17"/>
        <v>4718.5072</v>
      </c>
    </row>
    <row r="334" spans="1:7" ns3:dyDescent="0.25">
      <c r="A334" t="s">
        <v>301</v>
      </c>
      <c r="B334">
        <v>785.0</v>
      </c>
      <c r="C334" s="2">
        <v>0.12</v>
      </c>
      <c r="D334">
        <v>50</v>
      </c>
      <c r="E334">
        <f t="shared" si="15"/>
        <v>4105.55</v>
      </c>
      <c r="F334">
        <f t="shared" si="16"/>
        <v>492.666</v>
      </c>
      <c r="G334" s="3">
        <f t="shared" si="17"/>
        <v>4648.216</v>
      </c>
    </row>
    <row r="335" spans="1:7" ns3:dyDescent="0.25">
      <c r="A335" t="s">
        <v>302</v>
      </c>
      <c r="B335">
        <v>673.0</v>
      </c>
      <c r="C335" s="2">
        <v>0.12</v>
      </c>
      <c r="D335">
        <v>50</v>
      </c>
      <c r="E335">
        <f t="shared" si="15"/>
        <v>3519.79</v>
      </c>
      <c r="F335">
        <f t="shared" si="16"/>
        <v>422.3748</v>
      </c>
      <c r="G335" s="3">
        <f t="shared" si="17"/>
        <v>3992.1648</v>
      </c>
    </row>
    <row r="336" spans="1:7" ns3:dyDescent="0.25">
      <c r="A336" t="s">
        <v>303</v>
      </c>
      <c r="B336">
        <v>523.0</v>
      </c>
      <c r="C336" s="2">
        <v>0.12</v>
      </c>
      <c r="D336">
        <v>50</v>
      </c>
      <c r="E336">
        <f t="shared" si="15"/>
        <v>2735.29</v>
      </c>
      <c r="F336">
        <f t="shared" si="16"/>
        <v>328.2348</v>
      </c>
      <c r="G336" s="3">
        <f t="shared" si="17"/>
        <v>3113.5248</v>
      </c>
    </row>
    <row r="337" spans="1:7" ns3:dyDescent="0.25">
      <c r="A337" t="s">
        <v>304</v>
      </c>
      <c r="B337">
        <v>581.0</v>
      </c>
      <c r="C337" s="2">
        <v>0.12</v>
      </c>
      <c r="D337">
        <v>50</v>
      </c>
      <c r="E337">
        <f t="shared" si="15"/>
        <v>3038.63</v>
      </c>
      <c r="F337">
        <f t="shared" si="16"/>
        <v>364.6356</v>
      </c>
      <c r="G337" s="3">
        <f t="shared" si="17"/>
        <v>3453.2656</v>
      </c>
    </row>
    <row r="338" spans="1:7" ns3:dyDescent="0.25">
      <c r="A338" t="s">
        <v>797</v>
      </c>
      <c r="B338">
        <v>341.0</v>
      </c>
      <c r="C338" s="2">
        <v>0.12</v>
      </c>
      <c r="D338">
        <v>50</v>
      </c>
      <c r="E338">
        <f t="shared" si="15"/>
        <v>1783.43</v>
      </c>
      <c r="F338">
        <f t="shared" si="16"/>
        <v>214.0116</v>
      </c>
      <c r="G338" s="3">
        <f t="shared" si="17"/>
        <v>2047.4416</v>
      </c>
    </row>
    <row r="339" spans="1:7" ns3:dyDescent="0.25">
      <c r="A339" t="s">
        <v>305</v>
      </c>
      <c r="B339">
        <v>853.0</v>
      </c>
      <c r="C339" s="2">
        <v>0.12</v>
      </c>
      <c r="D339">
        <v>50</v>
      </c>
      <c r="E339">
        <f t="shared" si="15"/>
        <v>4461.19</v>
      </c>
      <c r="F339">
        <f t="shared" si="16"/>
        <v>535.3428</v>
      </c>
      <c r="G339" s="3">
        <f t="shared" si="17"/>
        <v>5046.5328</v>
      </c>
    </row>
    <row r="340" spans="1:7" ns3:dyDescent="0.25">
      <c r="A340" t="s">
        <v>306</v>
      </c>
      <c r="B340">
        <v>753.0</v>
      </c>
      <c r="C340" s="2">
        <v>0.12</v>
      </c>
      <c r="D340">
        <v>50</v>
      </c>
      <c r="E340">
        <f t="shared" si="15"/>
        <v>3938.19</v>
      </c>
      <c r="F340">
        <f t="shared" si="16"/>
        <v>472.5828</v>
      </c>
      <c r="G340" s="3">
        <f t="shared" si="17"/>
        <v>4460.7728</v>
      </c>
    </row>
    <row r="341" spans="1:7" ns3:dyDescent="0.25">
      <c r="A341" t="s">
        <v>307</v>
      </c>
      <c r="B341">
        <v>73.0</v>
      </c>
      <c r="C341" s="2">
        <v>0.12</v>
      </c>
      <c r="D341">
        <v>50</v>
      </c>
      <c r="E341">
        <f t="shared" si="15"/>
        <v>381.79</v>
      </c>
      <c r="F341">
        <f t="shared" si="16"/>
        <v>45.8148</v>
      </c>
      <c r="G341" s="3">
        <f t="shared" si="17"/>
        <v>477.6048</v>
      </c>
    </row>
    <row r="342" spans="1:7" ns3:dyDescent="0.25">
      <c r="A342" t="s">
        <v>308</v>
      </c>
      <c r="B342">
        <v>69.0</v>
      </c>
      <c r="C342" s="2">
        <v>0.12</v>
      </c>
      <c r="D342">
        <v>50</v>
      </c>
      <c r="E342">
        <f t="shared" si="15"/>
        <v>360.87</v>
      </c>
      <c r="F342">
        <f t="shared" si="16"/>
        <v>43.3044</v>
      </c>
      <c r="G342" s="3">
        <f t="shared" si="17"/>
        <v>454.1744</v>
      </c>
    </row>
    <row r="343" spans="1:7" ns3:dyDescent="0.25">
      <c r="A343" t="s">
        <v>309</v>
      </c>
      <c r="B343">
        <v>821.0</v>
      </c>
      <c r="C343" s="2">
        <v>0.12</v>
      </c>
      <c r="D343">
        <v>50</v>
      </c>
      <c r="E343">
        <f t="shared" si="15"/>
        <v>4293.83</v>
      </c>
      <c r="F343">
        <f t="shared" si="16"/>
        <v>515.2596</v>
      </c>
      <c r="G343" s="3">
        <f t="shared" si="17"/>
        <v>4859.0896</v>
      </c>
    </row>
    <row r="344" spans="1:7" ns3:dyDescent="0.25">
      <c r="A344" t="s">
        <v>310</v>
      </c>
      <c r="B344">
        <v>449.0</v>
      </c>
      <c r="C344" s="2">
        <v>0.12</v>
      </c>
      <c r="D344">
        <v>50</v>
      </c>
      <c r="E344">
        <f t="shared" si="15"/>
        <v>2348.27</v>
      </c>
      <c r="F344">
        <f t="shared" si="16"/>
        <v>281.7924</v>
      </c>
      <c r="G344" s="3">
        <f t="shared" si="17"/>
        <v>2680.0624</v>
      </c>
    </row>
    <row r="345" spans="1:7" ns3:dyDescent="0.25">
      <c r="A345" t="s">
        <v>798</v>
      </c>
      <c r="B345">
        <v>467.0</v>
      </c>
      <c r="C345" s="2">
        <v>0.12</v>
      </c>
      <c r="D345">
        <v>50</v>
      </c>
      <c r="E345">
        <f t="shared" si="15"/>
        <v>2442.41</v>
      </c>
      <c r="F345">
        <f t="shared" si="16"/>
        <v>293.0892</v>
      </c>
      <c r="G345" s="3">
        <f t="shared" si="17"/>
        <v>2785.4992</v>
      </c>
    </row>
    <row r="346" spans="1:7" ns3:dyDescent="0.25">
      <c r="A346" t="s">
        <v>311</v>
      </c>
      <c r="B346">
        <v>189.0</v>
      </c>
      <c r="C346" s="2">
        <v>0.12</v>
      </c>
      <c r="D346">
        <v>50</v>
      </c>
      <c r="E346">
        <f t="shared" si="15"/>
        <v>988.47</v>
      </c>
      <c r="F346">
        <f t="shared" si="16"/>
        <v>118.6164</v>
      </c>
      <c r="G346" s="3">
        <f t="shared" si="17"/>
        <v>1157.0864</v>
      </c>
    </row>
    <row r="347" spans="1:7" ns3:dyDescent="0.25">
      <c r="A347" t="s">
        <v>799</v>
      </c>
      <c r="B347">
        <v>905.0</v>
      </c>
      <c r="C347" s="2">
        <v>0.12</v>
      </c>
      <c r="D347">
        <v>50</v>
      </c>
      <c r="E347">
        <f t="shared" si="15"/>
        <v>4733.15</v>
      </c>
      <c r="F347">
        <f t="shared" si="16"/>
        <v>567.978</v>
      </c>
      <c r="G347" s="3">
        <f t="shared" si="17"/>
        <v>5351.128</v>
      </c>
    </row>
    <row r="348" spans="1:7" ns3:dyDescent="0.25">
      <c r="A348" t="s">
        <v>587</v>
      </c>
      <c r="B348">
        <v>633.0</v>
      </c>
      <c r="C348" s="2">
        <v>0.12</v>
      </c>
      <c r="D348">
        <v>50</v>
      </c>
      <c r="E348">
        <f t="shared" si="15"/>
        <v>3310.59</v>
      </c>
      <c r="F348">
        <f t="shared" si="16"/>
        <v>397.2708</v>
      </c>
      <c r="G348" s="3">
        <f t="shared" si="17"/>
        <v>3757.8608</v>
      </c>
    </row>
    <row r="349" spans="1:7" ns3:dyDescent="0.25">
      <c r="A349" t="s">
        <v>588</v>
      </c>
      <c r="B349">
        <v>881.0</v>
      </c>
      <c r="C349" s="2">
        <v>0.12</v>
      </c>
      <c r="D349">
        <v>50</v>
      </c>
      <c r="E349">
        <f t="shared" si="15"/>
        <v>4607.63</v>
      </c>
      <c r="F349">
        <f t="shared" si="16"/>
        <v>552.9156</v>
      </c>
      <c r="G349" s="3">
        <f t="shared" si="17"/>
        <v>5210.5456</v>
      </c>
    </row>
    <row r="350" spans="1:7" ns3:dyDescent="0.25">
      <c r="A350" t="s">
        <v>312</v>
      </c>
      <c r="B350">
        <v>257.0</v>
      </c>
      <c r="C350" s="2">
        <v>0.12</v>
      </c>
      <c r="D350">
        <v>50</v>
      </c>
      <c r="E350">
        <f t="shared" si="15"/>
        <v>1344.11</v>
      </c>
      <c r="F350">
        <f t="shared" si="16"/>
        <v>161.2932</v>
      </c>
      <c r="G350" s="3">
        <f t="shared" si="17"/>
        <v>1555.4032</v>
      </c>
    </row>
    <row r="351" spans="1:7" ns3:dyDescent="0.25">
      <c r="A351" t="s">
        <v>313</v>
      </c>
      <c r="B351">
        <v>575.0</v>
      </c>
      <c r="C351" s="2">
        <v>0.12</v>
      </c>
      <c r="D351">
        <v>50</v>
      </c>
      <c r="E351">
        <f t="shared" si="15"/>
        <v>3007.25</v>
      </c>
      <c r="F351">
        <f t="shared" si="16"/>
        <v>360.87</v>
      </c>
      <c r="G351" s="3">
        <f t="shared" si="17"/>
        <v>3418.12</v>
      </c>
    </row>
    <row r="352" spans="1:7" ns3:dyDescent="0.25">
      <c r="A352" t="s">
        <v>314</v>
      </c>
      <c r="B352">
        <v>407.0</v>
      </c>
      <c r="C352" s="2">
        <v>0.12</v>
      </c>
      <c r="D352">
        <v>50</v>
      </c>
      <c r="E352">
        <f t="shared" si="15"/>
        <v>2128.61</v>
      </c>
      <c r="F352">
        <f t="shared" si="16"/>
        <v>255.4332</v>
      </c>
      <c r="G352" s="3">
        <f t="shared" si="17"/>
        <v>2434.0432</v>
      </c>
    </row>
    <row r="353" spans="1:7" ns3:dyDescent="0.25">
      <c r="A353" t="s">
        <v>800</v>
      </c>
      <c r="B353">
        <v>409.0</v>
      </c>
      <c r="C353" s="2">
        <v>0.12</v>
      </c>
      <c r="D353">
        <v>50</v>
      </c>
      <c r="E353">
        <f t="shared" si="15"/>
        <v>2139.07</v>
      </c>
      <c r="F353">
        <f t="shared" si="16"/>
        <v>256.6884</v>
      </c>
      <c r="G353" s="3">
        <f t="shared" si="17"/>
        <v>2445.7584</v>
      </c>
    </row>
    <row r="354" spans="1:7" ns3:dyDescent="0.25">
      <c r="A354" t="s">
        <v>315</v>
      </c>
      <c r="B354">
        <v>131.0</v>
      </c>
      <c r="C354" s="2">
        <v>0.12</v>
      </c>
      <c r="D354">
        <v>50</v>
      </c>
      <c r="E354">
        <f t="shared" si="15"/>
        <v>685.13</v>
      </c>
      <c r="F354">
        <f t="shared" si="16"/>
        <v>82.2156</v>
      </c>
      <c r="G354" s="3">
        <f t="shared" si="17"/>
        <v>817.3456</v>
      </c>
    </row>
    <row r="355" spans="1:7" ns3:dyDescent="0.25">
      <c r="A355" t="s">
        <v>316</v>
      </c>
      <c r="B355">
        <v>863.0</v>
      </c>
      <c r="C355" s="2">
        <v>0.12</v>
      </c>
      <c r="D355">
        <v>50</v>
      </c>
      <c r="E355">
        <f t="shared" si="15"/>
        <v>4513.49</v>
      </c>
      <c r="F355">
        <f t="shared" si="16"/>
        <v>541.6188</v>
      </c>
      <c r="G355" s="3">
        <f t="shared" si="17"/>
        <v>5105.1088</v>
      </c>
    </row>
    <row r="356" spans="1:7" ns3:dyDescent="0.25">
      <c r="A356" t="s">
        <v>317</v>
      </c>
      <c r="B356">
        <v>921.0</v>
      </c>
      <c r="C356" s="2">
        <v>0.12</v>
      </c>
      <c r="D356">
        <v>50</v>
      </c>
      <c r="E356">
        <f t="shared" si="15"/>
        <v>4816.83</v>
      </c>
      <c r="F356">
        <f t="shared" si="16"/>
        <v>578.0196</v>
      </c>
      <c r="G356" s="3">
        <f t="shared" si="17"/>
        <v>5444.8496</v>
      </c>
    </row>
    <row r="357" spans="1:7" ns3:dyDescent="0.25">
      <c r="A357" t="s">
        <v>318</v>
      </c>
      <c r="B357">
        <v>725.0</v>
      </c>
      <c r="C357" s="2">
        <v>0.12</v>
      </c>
      <c r="D357">
        <v>50</v>
      </c>
      <c r="E357">
        <f t="shared" si="15"/>
        <v>3791.75</v>
      </c>
      <c r="F357">
        <f t="shared" si="16"/>
        <v>455.01</v>
      </c>
      <c r="G357" s="3">
        <f t="shared" si="17"/>
        <v>4296.76</v>
      </c>
    </row>
    <row r="358" spans="1:7" ns3:dyDescent="0.25">
      <c r="A358" t="s">
        <v>664</v>
      </c>
      <c r="B358">
        <v>411.0</v>
      </c>
      <c r="C358" s="2">
        <v>0.12</v>
      </c>
      <c r="D358">
        <v>50</v>
      </c>
      <c r="E358">
        <f t="shared" si="15"/>
        <v>2149.53</v>
      </c>
      <c r="F358">
        <f t="shared" si="16"/>
        <v>257.9436</v>
      </c>
      <c r="G358" s="3">
        <f t="shared" si="17"/>
        <v>2457.4736</v>
      </c>
    </row>
    <row r="359" spans="1:7" ns3:dyDescent="0.25">
      <c r="A359" t="s">
        <v>319</v>
      </c>
      <c r="B359">
        <v>573.0</v>
      </c>
      <c r="C359" s="2">
        <v>0.12</v>
      </c>
      <c r="D359">
        <v>50</v>
      </c>
      <c r="E359">
        <f t="shared" si="15"/>
        <v>2996.79</v>
      </c>
      <c r="F359">
        <f t="shared" si="16"/>
        <v>359.6148</v>
      </c>
      <c r="G359" s="3">
        <f t="shared" si="17"/>
        <v>3406.4048</v>
      </c>
    </row>
    <row r="360" spans="1:7" ns3:dyDescent="0.25">
      <c r="A360" t="s">
        <v>801</v>
      </c>
      <c r="B360">
        <v>759.0</v>
      </c>
      <c r="C360" s="2">
        <v>0.12</v>
      </c>
      <c r="D360">
        <v>50</v>
      </c>
      <c r="E360">
        <f t="shared" si="15"/>
        <v>3969.57</v>
      </c>
      <c r="F360">
        <f t="shared" si="16"/>
        <v>476.3484</v>
      </c>
      <c r="G360" s="3">
        <f t="shared" si="17"/>
        <v>4495.9184</v>
      </c>
    </row>
    <row r="361" spans="1:7" ns3:dyDescent="0.25">
      <c r="A361" t="s">
        <v>320</v>
      </c>
      <c r="B361">
        <v>325.0</v>
      </c>
      <c r="C361" s="2">
        <v>0.12</v>
      </c>
      <c r="D361">
        <v>50</v>
      </c>
      <c r="E361">
        <f t="shared" si="15"/>
        <v>1699.75</v>
      </c>
      <c r="F361">
        <f t="shared" si="16"/>
        <v>203.97</v>
      </c>
      <c r="G361" s="3">
        <f t="shared" si="17"/>
        <v>1953.72</v>
      </c>
    </row>
    <row r="362" spans="1:7" ns3:dyDescent="0.25">
      <c r="A362" t="s">
        <v>802</v>
      </c>
      <c r="B362">
        <v>817.0</v>
      </c>
      <c r="C362" s="2">
        <v>0.12</v>
      </c>
      <c r="D362">
        <v>50</v>
      </c>
      <c r="E362">
        <f t="shared" si="15"/>
        <v>4272.91</v>
      </c>
      <c r="F362">
        <f t="shared" si="16"/>
        <v>512.7492</v>
      </c>
      <c r="G362" s="3">
        <f t="shared" si="17"/>
        <v>4835.6592</v>
      </c>
    </row>
    <row r="363" spans="1:7" ns3:dyDescent="0.25">
      <c r="A363" t="s">
        <v>803</v>
      </c>
      <c r="B363">
        <v>457.0</v>
      </c>
      <c r="C363" s="2">
        <v>0.12</v>
      </c>
      <c r="D363">
        <v>50</v>
      </c>
      <c r="E363">
        <f t="shared" si="15"/>
        <v>2390.11</v>
      </c>
      <c r="F363">
        <f t="shared" si="16"/>
        <v>286.8132</v>
      </c>
      <c r="G363" s="3">
        <f t="shared" si="17"/>
        <v>2726.9232</v>
      </c>
    </row>
    <row r="364" spans="1:7" ns3:dyDescent="0.25">
      <c r="A364" t="s">
        <v>665</v>
      </c>
      <c r="B364">
        <v>481.0</v>
      </c>
      <c r="C364" s="2">
        <v>0.12</v>
      </c>
      <c r="D364">
        <v>50</v>
      </c>
      <c r="E364">
        <f t="shared" si="15"/>
        <v>2515.63</v>
      </c>
      <c r="F364">
        <f t="shared" si="16"/>
        <v>301.8756</v>
      </c>
      <c r="G364" s="3">
        <f t="shared" si="17"/>
        <v>2867.5056</v>
      </c>
    </row>
    <row r="365" spans="1:7" ns3:dyDescent="0.25">
      <c r="A365" t="s">
        <v>666</v>
      </c>
      <c r="B365">
        <v>885.0</v>
      </c>
      <c r="C365" s="2">
        <v>0.12</v>
      </c>
      <c r="D365">
        <v>50</v>
      </c>
      <c r="E365">
        <f t="shared" si="15"/>
        <v>4628.55</v>
      </c>
      <c r="F365">
        <f t="shared" si="16"/>
        <v>555.426</v>
      </c>
      <c r="G365" s="3">
        <f t="shared" si="17"/>
        <v>5233.976</v>
      </c>
    </row>
    <row r="366" spans="1:7" ns3:dyDescent="0.25">
      <c r="A366" t="s">
        <v>321</v>
      </c>
      <c r="B366">
        <v>535.0</v>
      </c>
      <c r="C366" s="2">
        <v>0.12</v>
      </c>
      <c r="D366">
        <v>50</v>
      </c>
      <c r="E366">
        <f t="shared" si="15"/>
        <v>2798.05</v>
      </c>
      <c r="F366">
        <f t="shared" si="16"/>
        <v>335.766</v>
      </c>
      <c r="G366" s="3">
        <f t="shared" si="17"/>
        <v>3183.816</v>
      </c>
    </row>
    <row r="367" spans="1:7" ns3:dyDescent="0.25">
      <c r="A367" t="s">
        <v>322</v>
      </c>
      <c r="B367">
        <v>709.0</v>
      </c>
      <c r="C367" s="2">
        <v>0.12</v>
      </c>
      <c r="D367">
        <v>50</v>
      </c>
      <c r="E367">
        <f t="shared" si="15"/>
        <v>3708.07</v>
      </c>
      <c r="F367">
        <f t="shared" si="16"/>
        <v>444.9684</v>
      </c>
      <c r="G367" s="3">
        <f t="shared" si="17"/>
        <v>4203.0384</v>
      </c>
    </row>
    <row r="368" spans="1:7" ns3:dyDescent="0.25">
      <c r="A368" t="s">
        <v>323</v>
      </c>
      <c r="B368">
        <v>593.0</v>
      </c>
      <c r="C368" s="2">
        <v>0.12</v>
      </c>
      <c r="D368">
        <v>50</v>
      </c>
      <c r="E368">
        <f t="shared" si="15"/>
        <v>3101.39</v>
      </c>
      <c r="F368">
        <f t="shared" si="16"/>
        <v>372.1668</v>
      </c>
      <c r="G368" s="3">
        <f t="shared" si="17"/>
        <v>3523.5568</v>
      </c>
    </row>
    <row r="369" spans="1:7" ns3:dyDescent="0.25">
      <c r="A369" t="s">
        <v>324</v>
      </c>
      <c r="B369">
        <v>943.0</v>
      </c>
      <c r="C369" s="2">
        <v>0.12</v>
      </c>
      <c r="D369">
        <v>50</v>
      </c>
      <c r="E369">
        <f t="shared" si="15"/>
        <v>4931.89</v>
      </c>
      <c r="F369">
        <f t="shared" si="16"/>
        <v>591.8268</v>
      </c>
      <c r="G369" s="3">
        <f t="shared" si="17"/>
        <v>5573.7168</v>
      </c>
    </row>
    <row r="370" spans="1:7" ns3:dyDescent="0.25">
      <c r="A370" t="s">
        <v>325</v>
      </c>
      <c r="B370">
        <v>167.0</v>
      </c>
      <c r="C370" s="2">
        <v>0.12</v>
      </c>
      <c r="D370">
        <v>50</v>
      </c>
      <c r="E370">
        <f t="shared" si="15"/>
        <v>873.41</v>
      </c>
      <c r="F370">
        <f t="shared" si="16"/>
        <v>104.8092</v>
      </c>
      <c r="G370" s="3">
        <f t="shared" si="17"/>
        <v>1028.2192</v>
      </c>
    </row>
    <row r="371" spans="1:7" ns3:dyDescent="0.25">
      <c r="A371" t="s">
        <v>326</v>
      </c>
      <c r="B371">
        <v>159.0</v>
      </c>
      <c r="C371" s="2">
        <v>0.12</v>
      </c>
      <c r="D371">
        <v>50</v>
      </c>
      <c r="E371">
        <f t="shared" si="15"/>
        <v>831.57</v>
      </c>
      <c r="F371">
        <f t="shared" si="16"/>
        <v>99.7884</v>
      </c>
      <c r="G371" s="3">
        <f t="shared" si="17"/>
        <v>981.3584</v>
      </c>
    </row>
    <row r="372" spans="1:7" ns3:dyDescent="0.25">
      <c r="A372" t="s">
        <v>804</v>
      </c>
      <c r="B372">
        <v>903.0</v>
      </c>
      <c r="C372" s="2">
        <v>0.12</v>
      </c>
      <c r="D372">
        <v>50</v>
      </c>
      <c r="E372">
        <f t="shared" si="15"/>
        <v>4722.69</v>
      </c>
      <c r="F372">
        <f t="shared" si="16"/>
        <v>566.7228</v>
      </c>
      <c r="G372" s="3">
        <f t="shared" si="17"/>
        <v>5339.4128</v>
      </c>
    </row>
    <row r="373" spans="1:7" ns3:dyDescent="0.25">
      <c r="A373" t="s">
        <v>327</v>
      </c>
      <c r="B373">
        <v>607.0</v>
      </c>
      <c r="C373" s="2">
        <v>0.12</v>
      </c>
      <c r="D373">
        <v>50</v>
      </c>
      <c r="E373">
        <f t="shared" si="15"/>
        <v>3174.61</v>
      </c>
      <c r="F373">
        <f t="shared" si="16"/>
        <v>380.9532</v>
      </c>
      <c r="G373" s="3">
        <f t="shared" si="17"/>
        <v>3605.5632</v>
      </c>
    </row>
    <row r="374" spans="1:7" ns3:dyDescent="0.25">
      <c r="A374" t="s">
        <v>710</v>
      </c>
      <c r="B374">
        <v>699.0</v>
      </c>
      <c r="C374" s="2">
        <v>0.12</v>
      </c>
      <c r="D374">
        <v>50</v>
      </c>
      <c r="E374">
        <f t="shared" si="15"/>
        <v>3655.77</v>
      </c>
      <c r="F374">
        <f t="shared" si="16"/>
        <v>438.6924</v>
      </c>
      <c r="G374" s="3">
        <f t="shared" si="17"/>
        <v>4144.4624</v>
      </c>
    </row>
    <row r="375" spans="1:7" ns3:dyDescent="0.25">
      <c r="A375" t="s">
        <v>328</v>
      </c>
      <c r="B375">
        <v>249.0</v>
      </c>
      <c r="C375" s="2">
        <v>0.12</v>
      </c>
      <c r="D375">
        <v>50</v>
      </c>
      <c r="E375">
        <f t="shared" si="15"/>
        <v>1302.27</v>
      </c>
      <c r="F375">
        <f t="shared" si="16"/>
        <v>156.2724</v>
      </c>
      <c r="G375" s="3">
        <f t="shared" si="17"/>
        <v>1508.5424</v>
      </c>
    </row>
    <row r="376" spans="1:7" ns3:dyDescent="0.25">
      <c r="A376" t="s">
        <v>329</v>
      </c>
      <c r="B376">
        <v>665.0</v>
      </c>
      <c r="C376" s="2">
        <v>0.12</v>
      </c>
      <c r="D376">
        <v>50</v>
      </c>
      <c r="E376">
        <f t="shared" si="15"/>
        <v>3477.95</v>
      </c>
      <c r="F376">
        <f t="shared" si="16"/>
        <v>417.354</v>
      </c>
      <c r="G376" s="3">
        <f t="shared" si="17"/>
        <v>3945.304</v>
      </c>
    </row>
    <row r="377" spans="1:7" ns3:dyDescent="0.25">
      <c r="A377" t="s">
        <v>711</v>
      </c>
      <c r="B377">
        <v>351.0</v>
      </c>
      <c r="C377" s="2">
        <v>0.12</v>
      </c>
      <c r="D377">
        <v>50</v>
      </c>
      <c r="E377">
        <f t="shared" si="15"/>
        <v>1835.73</v>
      </c>
      <c r="F377">
        <f t="shared" si="16"/>
        <v>220.2876</v>
      </c>
      <c r="G377" s="3">
        <f t="shared" si="17"/>
        <v>2106.0176</v>
      </c>
    </row>
    <row r="378" spans="1:7" ns3:dyDescent="0.25">
      <c r="A378" t="s">
        <v>330</v>
      </c>
      <c r="B378">
        <v>375.0</v>
      </c>
      <c r="C378" s="2">
        <v>0.12</v>
      </c>
      <c r="D378">
        <v>50</v>
      </c>
      <c r="E378">
        <f t="shared" si="15"/>
        <v>1961.25</v>
      </c>
      <c r="F378">
        <f t="shared" si="16"/>
        <v>235.35</v>
      </c>
      <c r="G378" s="3">
        <f t="shared" si="17"/>
        <v>2246.6</v>
      </c>
    </row>
    <row r="379" spans="1:7" ns3:dyDescent="0.25">
      <c r="A379" t="s">
        <v>712</v>
      </c>
      <c r="B379">
        <v>757.0</v>
      </c>
      <c r="C379" s="2">
        <v>0.12</v>
      </c>
      <c r="D379">
        <v>50</v>
      </c>
      <c r="E379">
        <f t="shared" si="15"/>
        <v>3959.11</v>
      </c>
      <c r="F379">
        <f t="shared" si="16"/>
        <v>475.0932</v>
      </c>
      <c r="G379" s="3">
        <f t="shared" si="17"/>
        <v>4484.2032</v>
      </c>
    </row>
    <row r="380" spans="1:7" ns3:dyDescent="0.25">
      <c r="A380" t="s">
        <v>713</v>
      </c>
      <c r="B380">
        <v>851.0</v>
      </c>
      <c r="C380" s="2">
        <v>0.12</v>
      </c>
      <c r="D380">
        <v>50</v>
      </c>
      <c r="E380">
        <f t="shared" si="15"/>
        <v>4450.73</v>
      </c>
      <c r="F380">
        <f t="shared" si="16"/>
        <v>534.0876</v>
      </c>
      <c r="G380" s="3">
        <f t="shared" si="17"/>
        <v>5034.8176</v>
      </c>
    </row>
    <row r="381" spans="1:7" ns3:dyDescent="0.25">
      <c r="A381" s="4" t="s">
        <v>638</v>
      </c>
      <c r="C381" s="2">
        <v>0.12</v>
      </c>
      <c r="D381">
        <v>50</v>
      </c>
      <c r="E381">
        <f t="shared" si="15"/>
        <v>0</v>
      </c>
      <c r="F381">
        <f t="shared" si="16"/>
        <v>0</v>
      </c>
      <c r="G381" s="3">
        <f t="shared" si="17"/>
        <v>50</v>
      </c>
    </row>
    <row r="382" spans="1:7" ns3:dyDescent="0.25">
      <c r="A382" t="s">
        <v>331</v>
      </c>
      <c r="B382">
        <v>289.0</v>
      </c>
      <c r="C382" s="2">
        <v>0.12</v>
      </c>
      <c r="D382">
        <v>50</v>
      </c>
      <c r="E382">
        <f t="shared" si="15"/>
        <v>1511.47</v>
      </c>
      <c r="F382">
        <f t="shared" si="16"/>
        <v>181.3764</v>
      </c>
      <c r="G382" s="3">
        <f t="shared" si="17"/>
        <v>1742.8464</v>
      </c>
    </row>
    <row r="383" spans="1:7" ns3:dyDescent="0.25">
      <c r="A383" t="s">
        <v>332</v>
      </c>
      <c r="B383">
        <v>483.0</v>
      </c>
      <c r="C383" s="2">
        <v>0.12</v>
      </c>
      <c r="D383">
        <v>50</v>
      </c>
      <c r="E383">
        <f t="shared" si="15"/>
        <v>2526.09</v>
      </c>
      <c r="F383">
        <f t="shared" si="16"/>
        <v>303.1308</v>
      </c>
      <c r="G383" s="3">
        <f t="shared" si="17"/>
        <v>2879.2208</v>
      </c>
    </row>
    <row r="384" spans="1:7" ns3:dyDescent="0.25">
      <c r="A384" t="s">
        <v>333</v>
      </c>
      <c r="B384">
        <v>425.0</v>
      </c>
      <c r="C384" s="2">
        <v>0.12</v>
      </c>
      <c r="D384">
        <v>50</v>
      </c>
      <c r="E384">
        <f t="shared" si="15"/>
        <v>2222.75</v>
      </c>
      <c r="F384">
        <f t="shared" si="16"/>
        <v>266.73</v>
      </c>
      <c r="G384" s="3">
        <f t="shared" si="17"/>
        <v>2539.48</v>
      </c>
    </row>
    <row r="385" spans="1:7" ns3:dyDescent="0.25">
      <c r="A385" t="s">
        <v>334</v>
      </c>
      <c r="B385">
        <v>103.0</v>
      </c>
      <c r="C385" s="2">
        <v>0.12</v>
      </c>
      <c r="D385">
        <v>50</v>
      </c>
      <c r="E385">
        <f t="shared" si="15"/>
        <v>538.69</v>
      </c>
      <c r="F385">
        <f t="shared" si="16"/>
        <v>64.6428</v>
      </c>
      <c r="G385" s="3">
        <f t="shared" si="17"/>
        <v>653.3328</v>
      </c>
    </row>
    <row r="386" spans="1:7" ns3:dyDescent="0.25">
      <c r="A386" t="s">
        <v>335</v>
      </c>
      <c r="B386">
        <v>223.0</v>
      </c>
      <c r="C386" s="2">
        <v>0.12</v>
      </c>
      <c r="D386">
        <v>50</v>
      </c>
      <c r="E386">
        <f t="shared" si="15"/>
        <v>1166.29</v>
      </c>
      <c r="F386">
        <f t="shared" si="16"/>
        <v>139.9548</v>
      </c>
      <c r="G386" s="3">
        <f t="shared" si="17"/>
        <v>1356.2448</v>
      </c>
    </row>
    <row r="387" spans="1:7" ns3:dyDescent="0.25">
      <c r="A387" t="s">
        <v>336</v>
      </c>
      <c r="B387">
        <v>829.0</v>
      </c>
      <c r="C387" s="2">
        <v>0.12</v>
      </c>
      <c r="D387">
        <v>50</v>
      </c>
      <c r="E387">
        <f t="shared" ref="E387:E419" si="18">5.23*B387</f>
        <v>4335.67</v>
      </c>
      <c r="F387">
        <f t="shared" ref="F387:F419" si="19">E387*C387</f>
        <v>520.2804</v>
      </c>
      <c r="G387" s="3">
        <f t="shared" ref="G387:G419" si="20">F387+E387+D387</f>
        <v>4905.9504</v>
      </c>
    </row>
    <row r="388" spans="1:7" ns3:dyDescent="0.25">
      <c r="A388" t="s">
        <v>337</v>
      </c>
      <c r="B388">
        <v>887.0</v>
      </c>
      <c r="C388" s="2">
        <v>0.12</v>
      </c>
      <c r="D388">
        <v>50</v>
      </c>
      <c r="E388">
        <f t="shared" si="18"/>
        <v>4639.01</v>
      </c>
      <c r="F388">
        <f t="shared" si="19"/>
        <v>556.6812</v>
      </c>
      <c r="G388" s="3">
        <f t="shared" si="20"/>
        <v>5245.6912</v>
      </c>
    </row>
    <row r="389" spans="1:7" ns3:dyDescent="0.25">
      <c r="A389" t="s">
        <v>735</v>
      </c>
      <c r="B389">
        <v>671.0</v>
      </c>
      <c r="C389" s="2">
        <v>0.12</v>
      </c>
      <c r="D389">
        <v>50</v>
      </c>
      <c r="E389">
        <f t="shared" si="18"/>
        <v>3509.33</v>
      </c>
      <c r="F389">
        <f t="shared" si="19"/>
        <v>421.1196</v>
      </c>
      <c r="G389" s="3">
        <f t="shared" si="20"/>
        <v>3980.4496</v>
      </c>
    </row>
    <row r="390" spans="1:7" ns3:dyDescent="0.25">
      <c r="A390" t="s">
        <v>338</v>
      </c>
      <c r="B390">
        <v>201.0</v>
      </c>
      <c r="C390" s="2">
        <v>0.12</v>
      </c>
      <c r="D390">
        <v>50</v>
      </c>
      <c r="E390">
        <f t="shared" si="18"/>
        <v>1051.23</v>
      </c>
      <c r="F390">
        <f t="shared" si="19"/>
        <v>126.1476</v>
      </c>
      <c r="G390" s="3">
        <f t="shared" si="20"/>
        <v>1227.3776</v>
      </c>
    </row>
    <row r="391" spans="1:7" ns3:dyDescent="0.25">
      <c r="A391" t="s">
        <v>339</v>
      </c>
      <c r="B391">
        <v>259.0</v>
      </c>
      <c r="C391" s="2">
        <v>0.12</v>
      </c>
      <c r="D391">
        <v>50</v>
      </c>
      <c r="E391">
        <f t="shared" si="18"/>
        <v>1354.57</v>
      </c>
      <c r="F391">
        <f t="shared" si="19"/>
        <v>162.5484</v>
      </c>
      <c r="G391" s="3">
        <f t="shared" si="20"/>
        <v>1567.1184</v>
      </c>
    </row>
    <row r="392" spans="1:7" ns3:dyDescent="0.25">
      <c r="A392" t="s">
        <v>340</v>
      </c>
      <c r="B392">
        <v>469.0</v>
      </c>
      <c r="C392" s="2">
        <v>0.12</v>
      </c>
      <c r="D392">
        <v>50</v>
      </c>
      <c r="E392">
        <f t="shared" si="18"/>
        <v>2452.87</v>
      </c>
      <c r="F392">
        <f t="shared" si="19"/>
        <v>294.3444</v>
      </c>
      <c r="G392" s="3">
        <f t="shared" si="20"/>
        <v>2797.2144</v>
      </c>
    </row>
    <row r="393" spans="1:7" ns3:dyDescent="0.25">
      <c r="A393" t="s">
        <v>341</v>
      </c>
      <c r="B393">
        <v>527.0</v>
      </c>
      <c r="C393" s="2">
        <v>0.12</v>
      </c>
      <c r="D393">
        <v>50</v>
      </c>
      <c r="E393">
        <f t="shared" si="18"/>
        <v>2756.21</v>
      </c>
      <c r="F393">
        <f t="shared" si="19"/>
        <v>330.7452</v>
      </c>
      <c r="G393" s="3">
        <f t="shared" si="20"/>
        <v>3136.9552</v>
      </c>
    </row>
    <row r="394" spans="1:7" ns3:dyDescent="0.25">
      <c r="A394" t="s">
        <v>342</v>
      </c>
      <c r="B394">
        <v>727.0</v>
      </c>
      <c r="C394" s="2">
        <v>0.12</v>
      </c>
      <c r="D394">
        <v>50</v>
      </c>
      <c r="E394">
        <f t="shared" si="18"/>
        <v>3802.21</v>
      </c>
      <c r="F394">
        <f t="shared" si="19"/>
        <v>456.2652</v>
      </c>
      <c r="G394" s="3">
        <f t="shared" si="20"/>
        <v>4308.4752</v>
      </c>
    </row>
    <row r="395" spans="1:7" ns3:dyDescent="0.25">
      <c r="A395" t="s">
        <v>343</v>
      </c>
      <c r="B395">
        <v>785.0</v>
      </c>
      <c r="C395" s="2">
        <v>0.12</v>
      </c>
      <c r="D395">
        <v>50</v>
      </c>
      <c r="E395">
        <f t="shared" si="18"/>
        <v>4105.55</v>
      </c>
      <c r="F395">
        <f t="shared" si="19"/>
        <v>492.666</v>
      </c>
      <c r="G395" s="3">
        <f t="shared" si="20"/>
        <v>4648.216</v>
      </c>
    </row>
    <row r="396" spans="1:7" ns3:dyDescent="0.25">
      <c r="A396" t="s">
        <v>344</v>
      </c>
      <c r="B396">
        <v>189.0</v>
      </c>
      <c r="C396" s="2">
        <v>0.12</v>
      </c>
      <c r="D396">
        <v>50</v>
      </c>
      <c r="E396">
        <f t="shared" si="18"/>
        <v>988.47</v>
      </c>
      <c r="F396">
        <f t="shared" si="19"/>
        <v>118.6164</v>
      </c>
      <c r="G396" s="3">
        <f t="shared" si="20"/>
        <v>1157.0864</v>
      </c>
    </row>
    <row r="397" spans="1:7" ns3:dyDescent="0.25">
      <c r="A397" t="s">
        <v>345</v>
      </c>
      <c r="B397">
        <v>257.0</v>
      </c>
      <c r="C397" s="2">
        <v>0.12</v>
      </c>
      <c r="D397">
        <v>50</v>
      </c>
      <c r="E397">
        <f t="shared" si="18"/>
        <v>1344.11</v>
      </c>
      <c r="F397">
        <f t="shared" si="19"/>
        <v>161.2932</v>
      </c>
      <c r="G397" s="3">
        <f t="shared" si="20"/>
        <v>1555.4032</v>
      </c>
    </row>
    <row r="398" spans="1:7" ns3:dyDescent="0.25">
      <c r="A398" t="s">
        <v>346</v>
      </c>
      <c r="B398">
        <v>795.0</v>
      </c>
      <c r="C398" s="2">
        <v>0.12</v>
      </c>
      <c r="D398">
        <v>50</v>
      </c>
      <c r="E398">
        <f t="shared" si="18"/>
        <v>4157.85</v>
      </c>
      <c r="F398">
        <f t="shared" si="19"/>
        <v>498.942</v>
      </c>
      <c r="G398" s="3">
        <f t="shared" si="20"/>
        <v>4706.792</v>
      </c>
    </row>
    <row r="399" spans="1:7" ns3:dyDescent="0.25">
      <c r="A399" t="s">
        <v>347</v>
      </c>
      <c r="B399">
        <v>635.0</v>
      </c>
      <c r="C399" s="2">
        <v>0.12</v>
      </c>
      <c r="D399">
        <v>50</v>
      </c>
      <c r="E399">
        <f t="shared" si="18"/>
        <v>3321.05</v>
      </c>
      <c r="F399">
        <f t="shared" si="19"/>
        <v>398.526</v>
      </c>
      <c r="G399" s="3">
        <f t="shared" si="20"/>
        <v>3769.576</v>
      </c>
    </row>
    <row r="400" spans="1:7" ns3:dyDescent="0.25">
      <c r="A400" t="s">
        <v>348</v>
      </c>
      <c r="B400">
        <v>577.0</v>
      </c>
      <c r="C400" s="2">
        <v>0.12</v>
      </c>
      <c r="D400">
        <v>50</v>
      </c>
      <c r="E400">
        <f t="shared" si="18"/>
        <v>3017.71</v>
      </c>
      <c r="F400">
        <f t="shared" si="19"/>
        <v>362.1252</v>
      </c>
      <c r="G400" s="3">
        <f t="shared" si="20"/>
        <v>3429.8352</v>
      </c>
    </row>
    <row r="401" spans="1:7" ns3:dyDescent="0.25">
      <c r="A401" t="s">
        <v>667</v>
      </c>
      <c r="B401">
        <v>161.0</v>
      </c>
      <c r="C401" s="2">
        <v>0.12</v>
      </c>
      <c r="D401">
        <v>50</v>
      </c>
      <c r="E401">
        <f t="shared" si="18"/>
        <v>842.03</v>
      </c>
      <c r="F401">
        <f t="shared" si="19"/>
        <v>101.0436</v>
      </c>
      <c r="G401" s="3">
        <f t="shared" si="20"/>
        <v>993.0736</v>
      </c>
    </row>
    <row r="402" spans="1:7" ns3:dyDescent="0.25">
      <c r="A402" t="s">
        <v>668</v>
      </c>
      <c r="B402">
        <v>229.0</v>
      </c>
      <c r="C402" s="2">
        <v>0.12</v>
      </c>
      <c r="D402">
        <v>50</v>
      </c>
      <c r="E402">
        <f t="shared" si="18"/>
        <v>1197.67</v>
      </c>
      <c r="F402">
        <f t="shared" si="19"/>
        <v>143.7204</v>
      </c>
      <c r="G402" s="3">
        <f t="shared" si="20"/>
        <v>1391.3904</v>
      </c>
    </row>
    <row r="403" spans="1:7" ns3:dyDescent="0.25">
      <c r="A403" t="s">
        <v>669</v>
      </c>
      <c r="B403">
        <v>429.0</v>
      </c>
      <c r="C403" s="2">
        <v>0.12</v>
      </c>
      <c r="D403">
        <v>50</v>
      </c>
      <c r="E403">
        <f t="shared" si="18"/>
        <v>2243.67</v>
      </c>
      <c r="F403">
        <f t="shared" si="19"/>
        <v>269.2404</v>
      </c>
      <c r="G403" s="3">
        <f t="shared" si="20"/>
        <v>2562.9104</v>
      </c>
    </row>
    <row r="404" spans="1:7" ns3:dyDescent="0.25">
      <c r="A404" t="s">
        <v>670</v>
      </c>
      <c r="B404">
        <v>891.0</v>
      </c>
      <c r="C404" s="2">
        <v>0.12</v>
      </c>
      <c r="D404">
        <v>50</v>
      </c>
      <c r="E404">
        <f t="shared" si="18"/>
        <v>4659.93</v>
      </c>
      <c r="F404">
        <f t="shared" si="19"/>
        <v>559.1916</v>
      </c>
      <c r="G404" s="3">
        <f t="shared" si="20"/>
        <v>5269.1216</v>
      </c>
    </row>
    <row r="405" spans="1:7" ns3:dyDescent="0.25">
      <c r="A405" t="s">
        <v>671</v>
      </c>
      <c r="B405">
        <v>127.0</v>
      </c>
      <c r="C405" s="2">
        <v>0.12</v>
      </c>
      <c r="D405">
        <v>50</v>
      </c>
      <c r="E405">
        <f t="shared" si="18"/>
        <v>664.21</v>
      </c>
      <c r="F405">
        <f t="shared" si="19"/>
        <v>79.7052</v>
      </c>
      <c r="G405" s="3">
        <f t="shared" si="20"/>
        <v>793.9152</v>
      </c>
    </row>
    <row r="406" spans="1:7" ns3:dyDescent="0.25">
      <c r="A406" t="s">
        <v>672</v>
      </c>
      <c r="B406">
        <v>185.0</v>
      </c>
      <c r="C406" s="2">
        <v>0.12</v>
      </c>
      <c r="D406">
        <v>50</v>
      </c>
      <c r="E406">
        <f t="shared" si="18"/>
        <v>967.55</v>
      </c>
      <c r="F406">
        <f t="shared" si="19"/>
        <v>116.106</v>
      </c>
      <c r="G406" s="3">
        <f t="shared" si="20"/>
        <v>1133.656</v>
      </c>
    </row>
    <row r="407" spans="1:7" ns3:dyDescent="0.25">
      <c r="A407" t="s">
        <v>349</v>
      </c>
      <c r="B407">
        <v>75.0</v>
      </c>
      <c r="C407" s="2">
        <v>0.12</v>
      </c>
      <c r="D407">
        <v>50</v>
      </c>
      <c r="E407">
        <f t="shared" si="18"/>
        <v>392.25</v>
      </c>
      <c r="F407">
        <f t="shared" si="19"/>
        <v>47.07</v>
      </c>
      <c r="G407" s="3">
        <f t="shared" si="20"/>
        <v>489.32</v>
      </c>
    </row>
    <row r="408" spans="1:7" ns3:dyDescent="0.25">
      <c r="A408" t="s">
        <v>350</v>
      </c>
      <c r="B408">
        <v>123.0</v>
      </c>
      <c r="C408" s="2">
        <v>0.12</v>
      </c>
      <c r="D408">
        <v>50</v>
      </c>
      <c r="E408">
        <f t="shared" si="18"/>
        <v>643.29</v>
      </c>
      <c r="F408">
        <f t="shared" si="19"/>
        <v>77.1948</v>
      </c>
      <c r="G408" s="3">
        <f t="shared" si="20"/>
        <v>770.4848</v>
      </c>
    </row>
    <row r="409" spans="1:7" ns3:dyDescent="0.25">
      <c r="A409" t="s">
        <v>351</v>
      </c>
      <c r="B409">
        <v>181.0</v>
      </c>
      <c r="C409" s="2">
        <v>0.12</v>
      </c>
      <c r="D409">
        <v>50</v>
      </c>
      <c r="E409">
        <f t="shared" si="18"/>
        <v>946.63</v>
      </c>
      <c r="F409">
        <f t="shared" si="19"/>
        <v>113.5956</v>
      </c>
      <c r="G409" s="3">
        <f t="shared" si="20"/>
        <v>1110.2256</v>
      </c>
    </row>
    <row r="410" spans="1:7" ns3:dyDescent="0.25">
      <c r="A410" t="s">
        <v>352</v>
      </c>
      <c r="B410">
        <v>81.0</v>
      </c>
      <c r="C410" s="2">
        <v>0.12</v>
      </c>
      <c r="D410">
        <v>50</v>
      </c>
      <c r="E410">
        <f t="shared" si="18"/>
        <v>423.63</v>
      </c>
      <c r="F410">
        <f t="shared" si="19"/>
        <v>50.8356</v>
      </c>
      <c r="G410" s="3">
        <f t="shared" si="20"/>
        <v>524.4656</v>
      </c>
    </row>
    <row r="411" spans="1:7" ns3:dyDescent="0.25">
      <c r="A411" t="s">
        <v>805</v>
      </c>
      <c r="B411">
        <v>139.0</v>
      </c>
      <c r="C411" s="2">
        <v>0.12</v>
      </c>
      <c r="D411">
        <v>50</v>
      </c>
      <c r="E411">
        <f t="shared" si="18"/>
        <v>726.97</v>
      </c>
      <c r="F411">
        <f t="shared" si="19"/>
        <v>87.2364</v>
      </c>
      <c r="G411" s="3">
        <f t="shared" si="20"/>
        <v>864.2064</v>
      </c>
    </row>
    <row r="412" spans="1:7" ns3:dyDescent="0.25">
      <c r="A412" t="s">
        <v>883</v>
      </c>
      <c r="B412">
        <v>819.0</v>
      </c>
      <c r="C412" s="2">
        <v>0.12</v>
      </c>
      <c r="D412">
        <v>50</v>
      </c>
      <c r="E412">
        <f t="shared" si="18"/>
        <v>4283.37</v>
      </c>
      <c r="F412">
        <f t="shared" si="19"/>
        <v>514.0044</v>
      </c>
      <c r="G412" s="3">
        <f t="shared" si="20"/>
        <v>4847.3744</v>
      </c>
    </row>
    <row r="413" spans="1:7" ns3:dyDescent="0.25">
      <c r="A413" t="s">
        <v>884</v>
      </c>
      <c r="B413">
        <v>877.0</v>
      </c>
      <c r="C413" s="2">
        <v>0.12</v>
      </c>
      <c r="D413">
        <v>50</v>
      </c>
      <c r="E413">
        <f t="shared" si="18"/>
        <v>4586.71</v>
      </c>
      <c r="F413">
        <f t="shared" si="19"/>
        <v>550.4052</v>
      </c>
      <c r="G413" s="3">
        <f t="shared" si="20"/>
        <v>5187.1152</v>
      </c>
    </row>
    <row r="414" spans="1:7" ns3:dyDescent="0.25">
      <c r="A414" t="s">
        <v>806</v>
      </c>
      <c r="B414">
        <v>735.0</v>
      </c>
      <c r="C414" s="2">
        <v>0.12</v>
      </c>
      <c r="D414">
        <v>50</v>
      </c>
      <c r="E414">
        <f t="shared" si="18"/>
        <v>3844.05</v>
      </c>
      <c r="F414">
        <f t="shared" si="19"/>
        <v>461.286</v>
      </c>
      <c r="G414" s="3">
        <f t="shared" si="20"/>
        <v>4355.336</v>
      </c>
    </row>
    <row r="415" spans="1:7" ns3:dyDescent="0.25">
      <c r="A415" t="s">
        <v>807</v>
      </c>
      <c r="B415">
        <v>677.0</v>
      </c>
      <c r="C415" s="2">
        <v>0.12</v>
      </c>
      <c r="D415">
        <v>50</v>
      </c>
      <c r="E415">
        <f t="shared" si="18"/>
        <v>3540.71</v>
      </c>
      <c r="F415">
        <f t="shared" si="19"/>
        <v>424.8852</v>
      </c>
      <c r="G415" s="3">
        <f t="shared" si="20"/>
        <v>4015.5952</v>
      </c>
    </row>
    <row r="416" spans="1:7" ns3:dyDescent="0.25">
      <c r="A416" t="s">
        <v>353</v>
      </c>
      <c r="B416">
        <v>655.0</v>
      </c>
      <c r="C416" s="2">
        <v>0.12</v>
      </c>
      <c r="D416">
        <v>50</v>
      </c>
      <c r="E416">
        <f t="shared" si="18"/>
        <v>3425.65</v>
      </c>
      <c r="F416">
        <f t="shared" si="19"/>
        <v>411.078</v>
      </c>
      <c r="G416" s="3">
        <f t="shared" si="20"/>
        <v>3886.728</v>
      </c>
    </row>
    <row r="417" spans="1:7" ns3:dyDescent="0.25">
      <c r="A417" t="s">
        <v>354</v>
      </c>
      <c r="B417">
        <v>587.0</v>
      </c>
      <c r="C417" s="2">
        <v>0.12</v>
      </c>
      <c r="D417">
        <v>50</v>
      </c>
      <c r="E417">
        <f t="shared" si="18"/>
        <v>3070.01</v>
      </c>
      <c r="F417">
        <f t="shared" si="19"/>
        <v>368.4012</v>
      </c>
      <c r="G417" s="3">
        <f t="shared" si="20"/>
        <v>3488.4112</v>
      </c>
    </row>
    <row r="418" spans="1:7" ns3:dyDescent="0.25">
      <c r="A418" t="s">
        <v>736</v>
      </c>
      <c r="B418">
        <v>797.0</v>
      </c>
      <c r="C418" s="2">
        <v>0.12</v>
      </c>
      <c r="D418">
        <v>50</v>
      </c>
      <c r="E418">
        <f t="shared" si="18"/>
        <v>4168.31</v>
      </c>
      <c r="F418">
        <f t="shared" si="19"/>
        <v>500.1972</v>
      </c>
      <c r="G418" s="3">
        <f t="shared" si="20"/>
        <v>4718.5072</v>
      </c>
    </row>
    <row r="419" spans="1:7" ns3:dyDescent="0.25">
      <c r="A419" t="s">
        <v>885</v>
      </c>
      <c r="B419">
        <v>945.0</v>
      </c>
      <c r="C419" s="2">
        <v>0.12</v>
      </c>
      <c r="D419">
        <v>50</v>
      </c>
      <c r="E419">
        <f t="shared" si="18"/>
        <v>4942.35</v>
      </c>
      <c r="F419">
        <f t="shared" si="19"/>
        <v>593.082</v>
      </c>
      <c r="G419" s="3">
        <f t="shared" si="20"/>
        <v>5585.432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ns4:id="rId1"/>
  <tableParts count="1">
    <tablePart ns4:id="rId2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334B6C94-D4B1-42A8-8C17-5D4E769AABAB}">
  <dimension ref="A1:E136"/>
  <sheetViews>
    <sheetView workbookViewId="0">
      <selection sqref="A1:A136"/>
    </sheetView>
  </sheetViews>
  <sheetFormatPr defaultRowHeight="15" ns3:dyDescent="0.25"/>
  <cols>
    <col min="1" max="1" width="60.140625" customWidth="1"/>
    <col min="2" max="4" width="0" hidden="1" customWidth="1"/>
    <col min="5" max="5" width="12.140625" style="3" bestFit="1" customWidth="1"/>
  </cols>
  <sheetData>
    <row r="1" spans="1:5" ns3:dyDescent="0.25">
      <c r="A1" t="s">
        <v>74</v>
      </c>
    </row>
    <row r="2" spans="1:5" ns3:dyDescent="0.25">
      <c r="A2" t="s">
        <v>1</v>
      </c>
      <c r="B2">
        <v>909.0</v>
      </c>
      <c r="C2">
        <v>300</v>
      </c>
      <c r="D2">
        <f>5.23*B2</f>
        <v>4754.07</v>
      </c>
      <c r="E2" s="3">
        <f>D2+C2</f>
        <v>5054.07</v>
      </c>
    </row>
    <row r="3" spans="1:5" ns3:dyDescent="0.25">
      <c r="A3" t="s">
        <v>2</v>
      </c>
      <c r="B3">
        <v>511.0</v>
      </c>
      <c r="C3">
        <v>300</v>
      </c>
      <c r="D3">
        <f t="shared" ref="D3:D66" si="0">5.23*B3</f>
        <v>2672.53</v>
      </c>
      <c r="E3" s="3">
        <f t="shared" ref="E3:E66" si="1">D3+C3</f>
        <v>2972.53</v>
      </c>
    </row>
    <row r="4" spans="1:5" ns3:dyDescent="0.25">
      <c r="A4" t="s">
        <v>3</v>
      </c>
      <c r="B4">
        <v>851.0</v>
      </c>
      <c r="C4">
        <v>300</v>
      </c>
      <c r="D4">
        <f t="shared" si="0"/>
        <v>4450.73</v>
      </c>
      <c r="E4" s="3">
        <f t="shared" si="1"/>
        <v>4750.73</v>
      </c>
    </row>
    <row r="5" spans="1:5" ns3:dyDescent="0.25">
      <c r="A5" t="s">
        <v>4</v>
      </c>
      <c r="B5">
        <v>233.0</v>
      </c>
      <c r="C5">
        <v>300</v>
      </c>
      <c r="D5">
        <f t="shared" si="0"/>
        <v>1218.59</v>
      </c>
      <c r="E5" s="3">
        <f t="shared" si="1"/>
        <v>1518.59</v>
      </c>
    </row>
    <row r="6" spans="1:5" ns3:dyDescent="0.25">
      <c r="A6" t="s">
        <v>5</v>
      </c>
      <c r="B6">
        <v>695.0</v>
      </c>
      <c r="C6">
        <v>300</v>
      </c>
      <c r="D6">
        <f t="shared" si="0"/>
        <v>3634.85</v>
      </c>
      <c r="E6" s="3">
        <f t="shared" si="1"/>
        <v>3934.85</v>
      </c>
    </row>
    <row r="7" spans="1:5" ns3:dyDescent="0.25">
      <c r="A7" t="s">
        <v>6</v>
      </c>
      <c r="B7">
        <v>569.0</v>
      </c>
      <c r="C7">
        <v>300</v>
      </c>
      <c r="D7">
        <f t="shared" si="0"/>
        <v>2975.87</v>
      </c>
      <c r="E7" s="3">
        <f t="shared" si="1"/>
        <v>3275.87</v>
      </c>
    </row>
    <row r="8" spans="1:5" ns3:dyDescent="0.25">
      <c r="A8" t="s">
        <v>7</v>
      </c>
      <c r="B8">
        <v>577.0</v>
      </c>
      <c r="C8">
        <v>300</v>
      </c>
      <c r="D8">
        <f t="shared" si="0"/>
        <v>3017.71</v>
      </c>
      <c r="E8" s="3">
        <f t="shared" si="1"/>
        <v>3317.71</v>
      </c>
    </row>
    <row r="9" spans="1:5" ns3:dyDescent="0.25">
      <c r="A9" t="s">
        <v>8</v>
      </c>
      <c r="B9">
        <v>273.0</v>
      </c>
      <c r="C9">
        <v>300</v>
      </c>
      <c r="D9">
        <f t="shared" si="0"/>
        <v>1427.79</v>
      </c>
      <c r="E9" s="3">
        <f t="shared" si="1"/>
        <v>1727.79</v>
      </c>
    </row>
    <row r="10" spans="1:5" ns3:dyDescent="0.25">
      <c r="A10" t="s">
        <v>733</v>
      </c>
      <c r="B10">
        <v>125.0</v>
      </c>
      <c r="C10">
        <v>300</v>
      </c>
      <c r="D10">
        <f t="shared" si="0"/>
        <v>653.75</v>
      </c>
      <c r="E10" s="3">
        <f t="shared" si="1"/>
        <v>953.75</v>
      </c>
    </row>
    <row r="11" spans="1:5" ns3:dyDescent="0.25">
      <c r="A11" t="s">
        <v>9</v>
      </c>
      <c r="B11">
        <v>533.0</v>
      </c>
      <c r="C11">
        <v>300</v>
      </c>
      <c r="D11">
        <f t="shared" si="0"/>
        <v>2787.59</v>
      </c>
      <c r="E11" s="3">
        <f t="shared" si="1"/>
        <v>3087.59</v>
      </c>
    </row>
    <row r="12" spans="1:5" ns3:dyDescent="0.25">
      <c r="A12" t="s">
        <v>355</v>
      </c>
      <c r="B12">
        <v>87.0</v>
      </c>
      <c r="C12">
        <v>300</v>
      </c>
      <c r="D12">
        <f t="shared" si="0"/>
        <v>455.01</v>
      </c>
      <c r="E12" s="3">
        <f t="shared" si="1"/>
        <v>755.01</v>
      </c>
    </row>
    <row r="13" spans="1:5" ns3:dyDescent="0.25">
      <c r="A13" t="s">
        <v>10</v>
      </c>
      <c r="B13">
        <v>629.0</v>
      </c>
      <c r="C13">
        <v>300</v>
      </c>
      <c r="D13">
        <f t="shared" si="0"/>
        <v>3289.67</v>
      </c>
      <c r="E13" s="3">
        <f t="shared" si="1"/>
        <v>3589.67</v>
      </c>
    </row>
    <row r="14" spans="1:5" ns3:dyDescent="0.25">
      <c r="A14" t="s">
        <v>75</v>
      </c>
      <c r="B14">
        <v>325.0</v>
      </c>
      <c r="C14">
        <v>300</v>
      </c>
      <c r="D14">
        <f t="shared" si="0"/>
        <v>1699.75</v>
      </c>
      <c r="E14" s="3">
        <f t="shared" si="1"/>
        <v>1999.75</v>
      </c>
    </row>
    <row r="15" spans="1:5" ns3:dyDescent="0.25">
      <c r="A15" t="s">
        <v>76</v>
      </c>
      <c r="B15">
        <v>217.0</v>
      </c>
      <c r="C15">
        <v>300</v>
      </c>
      <c r="D15">
        <f t="shared" si="0"/>
        <v>1134.91</v>
      </c>
      <c r="E15" s="3">
        <f t="shared" si="1"/>
        <v>1434.91</v>
      </c>
    </row>
    <row r="16" spans="1:5" ns3:dyDescent="0.25">
      <c r="A16" t="s">
        <v>77</v>
      </c>
      <c r="B16">
        <v>427.0</v>
      </c>
      <c r="C16">
        <v>300</v>
      </c>
      <c r="D16">
        <f t="shared" si="0"/>
        <v>2233.21</v>
      </c>
      <c r="E16" s="3">
        <f t="shared" si="1"/>
        <v>2533.21</v>
      </c>
    </row>
    <row r="17" spans="1:5" ns3:dyDescent="0.25">
      <c r="A17" t="s">
        <v>11</v>
      </c>
      <c r="B17">
        <v>805.0</v>
      </c>
      <c r="C17">
        <v>300</v>
      </c>
      <c r="D17">
        <f t="shared" si="0"/>
        <v>4210.15</v>
      </c>
      <c r="E17" s="3">
        <f t="shared" si="1"/>
        <v>4510.15</v>
      </c>
    </row>
    <row r="18" spans="1:5" ns3:dyDescent="0.25">
      <c r="A18" t="s">
        <v>12</v>
      </c>
      <c r="B18">
        <v>359.0</v>
      </c>
      <c r="C18">
        <v>300</v>
      </c>
      <c r="D18">
        <f t="shared" si="0"/>
        <v>1877.57</v>
      </c>
      <c r="E18" s="3">
        <f t="shared" si="1"/>
        <v>2177.57</v>
      </c>
    </row>
    <row r="19" spans="1:5" ns3:dyDescent="0.25">
      <c r="A19" t="s">
        <v>13</v>
      </c>
      <c r="B19">
        <v>933.0</v>
      </c>
      <c r="C19">
        <v>300</v>
      </c>
      <c r="D19">
        <f t="shared" si="0"/>
        <v>4879.59</v>
      </c>
      <c r="E19" s="3">
        <f t="shared" si="1"/>
        <v>5179.59</v>
      </c>
    </row>
    <row r="20" spans="1:5" ns3:dyDescent="0.25">
      <c r="A20" t="s">
        <v>14</v>
      </c>
      <c r="B20">
        <v>627.0</v>
      </c>
      <c r="C20">
        <v>350</v>
      </c>
      <c r="D20">
        <f t="shared" si="0"/>
        <v>3279.21</v>
      </c>
      <c r="E20" s="3">
        <f t="shared" si="1"/>
        <v>3629.21</v>
      </c>
    </row>
    <row r="21" spans="1:5" ns3:dyDescent="0.25">
      <c r="A21" t="s">
        <v>857</v>
      </c>
      <c r="B21">
        <v>247.0</v>
      </c>
      <c r="C21">
        <v>350</v>
      </c>
      <c r="D21">
        <f t="shared" si="0"/>
        <v>1291.81</v>
      </c>
      <c r="E21" s="3">
        <f t="shared" si="1"/>
        <v>1641.81</v>
      </c>
    </row>
    <row r="22" spans="1:5" ns3:dyDescent="0.25">
      <c r="A22" t="s">
        <v>858</v>
      </c>
      <c r="B22">
        <v>723.0</v>
      </c>
      <c r="C22">
        <v>350</v>
      </c>
      <c r="D22">
        <f t="shared" si="0"/>
        <v>3781.29</v>
      </c>
      <c r="E22" s="3">
        <f t="shared" si="1"/>
        <v>4131.29</v>
      </c>
    </row>
    <row r="23" spans="1:5" ns3:dyDescent="0.25">
      <c r="A23" t="s">
        <v>859</v>
      </c>
      <c r="B23">
        <v>901.0</v>
      </c>
      <c r="C23">
        <v>350</v>
      </c>
      <c r="D23">
        <f t="shared" si="0"/>
        <v>4712.23</v>
      </c>
      <c r="E23" s="3">
        <f t="shared" si="1"/>
        <v>5062.23</v>
      </c>
    </row>
    <row r="24" spans="1:5" ns3:dyDescent="0.25">
      <c r="A24" t="s">
        <v>860</v>
      </c>
      <c r="B24">
        <v>685.0</v>
      </c>
      <c r="C24">
        <v>350</v>
      </c>
      <c r="D24">
        <f t="shared" si="0"/>
        <v>3582.55</v>
      </c>
      <c r="E24" s="3">
        <f t="shared" si="1"/>
        <v>3932.55</v>
      </c>
    </row>
    <row r="25" spans="1:5" ns3:dyDescent="0.25">
      <c r="A25" t="s">
        <v>15</v>
      </c>
      <c r="B25">
        <v>641.0</v>
      </c>
      <c r="C25">
        <v>350</v>
      </c>
      <c r="D25">
        <f t="shared" si="0"/>
        <v>3352.43</v>
      </c>
      <c r="E25" s="3">
        <f t="shared" si="1"/>
        <v>3702.43</v>
      </c>
    </row>
    <row r="26" spans="1:5" ns3:dyDescent="0.25">
      <c r="A26" t="s">
        <v>16</v>
      </c>
      <c r="B26">
        <v>699.0</v>
      </c>
      <c r="C26">
        <v>350</v>
      </c>
      <c r="D26">
        <f t="shared" si="0"/>
        <v>3655.77</v>
      </c>
      <c r="E26" s="3">
        <f t="shared" si="1"/>
        <v>4005.77</v>
      </c>
    </row>
    <row r="27" spans="1:5" ns3:dyDescent="0.25">
      <c r="A27" t="s">
        <v>17</v>
      </c>
      <c r="B27">
        <v>757.0</v>
      </c>
      <c r="C27">
        <v>350</v>
      </c>
      <c r="D27">
        <f t="shared" si="0"/>
        <v>3959.11</v>
      </c>
      <c r="E27" s="3">
        <f t="shared" si="1"/>
        <v>4309.11</v>
      </c>
    </row>
    <row r="28" spans="1:5" ns3:dyDescent="0.25">
      <c r="A28" t="s">
        <v>18</v>
      </c>
      <c r="B28">
        <v>573.0</v>
      </c>
      <c r="C28">
        <v>350</v>
      </c>
      <c r="D28">
        <f t="shared" si="0"/>
        <v>2996.79</v>
      </c>
      <c r="E28" s="3">
        <f t="shared" si="1"/>
        <v>3346.79</v>
      </c>
    </row>
    <row r="29" spans="1:5" ns3:dyDescent="0.25">
      <c r="A29" t="s">
        <v>19</v>
      </c>
      <c r="B29">
        <v>753.0</v>
      </c>
      <c r="C29">
        <v>350</v>
      </c>
      <c r="D29">
        <f t="shared" si="0"/>
        <v>3938.19</v>
      </c>
      <c r="E29" s="3">
        <f t="shared" si="1"/>
        <v>4288.19</v>
      </c>
    </row>
    <row r="30" spans="1:5" ns3:dyDescent="0.25">
      <c r="A30" t="s">
        <v>20</v>
      </c>
      <c r="B30">
        <v>363.0</v>
      </c>
      <c r="C30">
        <v>350</v>
      </c>
      <c r="D30">
        <f t="shared" si="0"/>
        <v>1898.49</v>
      </c>
      <c r="E30" s="3">
        <f t="shared" si="1"/>
        <v>2248.49</v>
      </c>
    </row>
    <row r="31" spans="1:5" ns3:dyDescent="0.25">
      <c r="A31" t="s">
        <v>21</v>
      </c>
      <c r="B31">
        <v>547.0</v>
      </c>
      <c r="C31">
        <v>350</v>
      </c>
      <c r="D31">
        <f t="shared" si="0"/>
        <v>2860.81</v>
      </c>
      <c r="E31" s="3">
        <f t="shared" si="1"/>
        <v>3210.81</v>
      </c>
    </row>
    <row r="32" spans="1:5" ns3:dyDescent="0.25">
      <c r="A32" t="s">
        <v>22</v>
      </c>
      <c r="B32">
        <v>421.0</v>
      </c>
      <c r="C32">
        <v>350</v>
      </c>
      <c r="D32">
        <f t="shared" si="0"/>
        <v>2201.83</v>
      </c>
      <c r="E32" s="3">
        <f t="shared" si="1"/>
        <v>2551.83</v>
      </c>
    </row>
    <row r="33" spans="1:5" ns3:dyDescent="0.25">
      <c r="A33" t="s">
        <v>23</v>
      </c>
      <c r="B33">
        <v>489.0</v>
      </c>
      <c r="C33">
        <v>350</v>
      </c>
      <c r="D33">
        <f t="shared" si="0"/>
        <v>2557.47</v>
      </c>
      <c r="E33" s="3">
        <f t="shared" si="1"/>
        <v>2907.47</v>
      </c>
    </row>
    <row r="34" spans="1:5" ns3:dyDescent="0.25">
      <c r="A34" t="s">
        <v>861</v>
      </c>
      <c r="B34">
        <v>817.0</v>
      </c>
      <c r="C34">
        <v>350</v>
      </c>
      <c r="D34">
        <f t="shared" si="0"/>
        <v>4272.91</v>
      </c>
      <c r="E34" s="3">
        <f t="shared" si="1"/>
        <v>4622.91</v>
      </c>
    </row>
    <row r="35" spans="1:5" ns3:dyDescent="0.25">
      <c r="A35" t="s">
        <v>862</v>
      </c>
      <c r="B35">
        <v>845.0</v>
      </c>
      <c r="C35">
        <v>350</v>
      </c>
      <c r="D35">
        <f t="shared" si="0"/>
        <v>4419.35</v>
      </c>
      <c r="E35" s="3">
        <f t="shared" si="1"/>
        <v>4769.35</v>
      </c>
    </row>
    <row r="36" spans="1:5" ns3:dyDescent="0.25">
      <c r="A36" t="s">
        <v>78</v>
      </c>
      <c r="B36">
        <v>579.0</v>
      </c>
      <c r="C36">
        <v>400</v>
      </c>
      <c r="D36">
        <f t="shared" si="0"/>
        <v>3028.17</v>
      </c>
      <c r="E36" s="3">
        <f t="shared" si="1"/>
        <v>3428.17</v>
      </c>
    </row>
    <row r="37" spans="1:5" ns3:dyDescent="0.25">
      <c r="A37" t="s">
        <v>79</v>
      </c>
      <c r="B37">
        <v>175.0</v>
      </c>
      <c r="C37">
        <v>400</v>
      </c>
      <c r="D37">
        <f t="shared" si="0"/>
        <v>915.25</v>
      </c>
      <c r="E37" s="3">
        <f t="shared" si="1"/>
        <v>1315.25</v>
      </c>
    </row>
    <row r="38" spans="1:5" ns3:dyDescent="0.25">
      <c r="A38" t="s">
        <v>80</v>
      </c>
      <c r="B38">
        <v>335.0</v>
      </c>
      <c r="C38">
        <v>400</v>
      </c>
      <c r="D38">
        <f t="shared" si="0"/>
        <v>1752.05</v>
      </c>
      <c r="E38" s="3">
        <f t="shared" si="1"/>
        <v>2152.05</v>
      </c>
    </row>
    <row r="39" spans="1:5" ns3:dyDescent="0.25">
      <c r="A39" t="s">
        <v>81</v>
      </c>
      <c r="B39">
        <v>267.0</v>
      </c>
      <c r="C39">
        <v>400</v>
      </c>
      <c r="D39">
        <f t="shared" si="0"/>
        <v>1396.41</v>
      </c>
      <c r="E39" s="3">
        <f t="shared" si="1"/>
        <v>1796.41</v>
      </c>
    </row>
    <row r="40" spans="1:5" ns3:dyDescent="0.25">
      <c r="A40" t="s">
        <v>82</v>
      </c>
      <c r="B40">
        <v>353.0</v>
      </c>
      <c r="C40">
        <v>400</v>
      </c>
      <c r="D40">
        <f t="shared" si="0"/>
        <v>1846.19</v>
      </c>
      <c r="E40" s="3">
        <f t="shared" si="1"/>
        <v>2246.19</v>
      </c>
    </row>
    <row r="41" spans="1:5" ns3:dyDescent="0.25">
      <c r="A41" t="s">
        <v>83</v>
      </c>
      <c r="B41">
        <v>119.0</v>
      </c>
      <c r="C41">
        <v>400</v>
      </c>
      <c r="D41">
        <f t="shared" si="0"/>
        <v>622.37</v>
      </c>
      <c r="E41" s="3">
        <f t="shared" si="1"/>
        <v>1022.37</v>
      </c>
    </row>
    <row r="42" spans="1:5" ns3:dyDescent="0.25">
      <c r="A42" t="s">
        <v>84</v>
      </c>
      <c r="B42">
        <v>591.0</v>
      </c>
      <c r="C42">
        <v>400</v>
      </c>
      <c r="D42">
        <f t="shared" si="0"/>
        <v>3090.93</v>
      </c>
      <c r="E42" s="3">
        <f t="shared" si="1"/>
        <v>3490.93</v>
      </c>
    </row>
    <row r="43" spans="1:5" ns3:dyDescent="0.25">
      <c r="A43" t="s">
        <v>619</v>
      </c>
      <c r="B43">
        <v>629.0</v>
      </c>
      <c r="C43">
        <v>400</v>
      </c>
      <c r="D43">
        <f t="shared" si="0"/>
        <v>3289.67</v>
      </c>
      <c r="E43" s="3">
        <f t="shared" si="1"/>
        <v>3689.67</v>
      </c>
    </row>
    <row r="44" spans="1:5" ns3:dyDescent="0.25">
      <c r="A44" t="s">
        <v>24</v>
      </c>
      <c r="B44">
        <v>773.0</v>
      </c>
      <c r="C44">
        <v>400</v>
      </c>
      <c r="D44">
        <f t="shared" si="0"/>
        <v>4042.79</v>
      </c>
      <c r="E44" s="3">
        <f t="shared" si="1"/>
        <v>4442.79</v>
      </c>
    </row>
    <row r="45" spans="1:5" ns3:dyDescent="0.25">
      <c r="A45" t="s">
        <v>25</v>
      </c>
      <c r="B45">
        <v>543.0</v>
      </c>
      <c r="C45">
        <v>400</v>
      </c>
      <c r="D45">
        <f t="shared" si="0"/>
        <v>2839.89</v>
      </c>
      <c r="E45" s="3">
        <f t="shared" si="1"/>
        <v>3239.89</v>
      </c>
    </row>
    <row r="46" spans="1:5" ns3:dyDescent="0.25">
      <c r="A46" t="s">
        <v>26</v>
      </c>
      <c r="B46">
        <v>299.0</v>
      </c>
      <c r="C46">
        <v>400</v>
      </c>
      <c r="D46">
        <f t="shared" si="0"/>
        <v>1563.77</v>
      </c>
      <c r="E46" s="3">
        <f t="shared" si="1"/>
        <v>1963.77</v>
      </c>
    </row>
    <row r="47" spans="1:5" ns3:dyDescent="0.25">
      <c r="A47" t="s">
        <v>763</v>
      </c>
      <c r="B47">
        <v>883.0</v>
      </c>
      <c r="C47">
        <v>400</v>
      </c>
      <c r="D47">
        <f t="shared" si="0"/>
        <v>4618.09</v>
      </c>
      <c r="E47" s="3">
        <f t="shared" si="1"/>
        <v>5018.09</v>
      </c>
    </row>
    <row r="48" spans="1:5" ns3:dyDescent="0.25">
      <c r="A48" t="s">
        <v>85</v>
      </c>
      <c r="B48">
        <v>425.0</v>
      </c>
      <c r="C48">
        <v>400</v>
      </c>
      <c r="D48">
        <f t="shared" si="0"/>
        <v>2222.75</v>
      </c>
      <c r="E48" s="3">
        <f t="shared" si="1"/>
        <v>2622.75</v>
      </c>
    </row>
    <row r="49" spans="1:5" ns3:dyDescent="0.25">
      <c r="A49" t="s">
        <v>86</v>
      </c>
      <c r="B49">
        <v>633.0</v>
      </c>
      <c r="C49">
        <v>400</v>
      </c>
      <c r="D49">
        <f t="shared" si="0"/>
        <v>3310.59</v>
      </c>
      <c r="E49" s="3">
        <f t="shared" si="1"/>
        <v>3710.59</v>
      </c>
    </row>
    <row r="50" spans="1:5" ns3:dyDescent="0.25">
      <c r="A50" t="s">
        <v>87</v>
      </c>
      <c r="B50">
        <v>605.0</v>
      </c>
      <c r="C50">
        <v>400</v>
      </c>
      <c r="D50">
        <f t="shared" si="0"/>
        <v>3164.15</v>
      </c>
      <c r="E50" s="3">
        <f t="shared" si="1"/>
        <v>3564.15</v>
      </c>
    </row>
    <row r="51" spans="1:5" ns3:dyDescent="0.25">
      <c r="A51" t="s">
        <v>88</v>
      </c>
      <c r="B51">
        <v>817.0</v>
      </c>
      <c r="C51">
        <v>400</v>
      </c>
      <c r="D51">
        <f t="shared" si="0"/>
        <v>4272.91</v>
      </c>
      <c r="E51" s="3">
        <f t="shared" si="1"/>
        <v>4672.91</v>
      </c>
    </row>
    <row r="52" spans="1:5" ns3:dyDescent="0.25">
      <c r="A52" t="s">
        <v>89</v>
      </c>
      <c r="B52">
        <v>367.0</v>
      </c>
      <c r="C52">
        <v>400</v>
      </c>
      <c r="D52">
        <f t="shared" si="0"/>
        <v>1919.41</v>
      </c>
      <c r="E52" s="3">
        <f t="shared" si="1"/>
        <v>2319.41</v>
      </c>
    </row>
    <row r="53" spans="1:5" ns3:dyDescent="0.25">
      <c r="A53" t="s">
        <v>27</v>
      </c>
      <c r="B53">
        <v>61.0</v>
      </c>
      <c r="C53">
        <v>400</v>
      </c>
      <c r="D53">
        <f t="shared" si="0"/>
        <v>319.03</v>
      </c>
      <c r="E53" s="3">
        <f t="shared" si="1"/>
        <v>719.03</v>
      </c>
    </row>
    <row r="54" spans="1:5" ns3:dyDescent="0.25">
      <c r="A54" t="s">
        <v>28</v>
      </c>
      <c r="B54">
        <v>903.0</v>
      </c>
      <c r="C54">
        <v>400</v>
      </c>
      <c r="D54">
        <f t="shared" si="0"/>
        <v>4722.69</v>
      </c>
      <c r="E54" s="3">
        <f t="shared" si="1"/>
        <v>5122.69</v>
      </c>
    </row>
    <row r="55" spans="1:5" ns3:dyDescent="0.25">
      <c r="A55" t="s">
        <v>29</v>
      </c>
      <c r="B55">
        <v>751.0</v>
      </c>
      <c r="C55">
        <v>400</v>
      </c>
      <c r="D55">
        <f t="shared" si="0"/>
        <v>3927.73</v>
      </c>
      <c r="E55" s="3">
        <f t="shared" si="1"/>
        <v>4327.73</v>
      </c>
    </row>
    <row r="56" spans="1:5" ns3:dyDescent="0.25">
      <c r="A56" t="s">
        <v>91</v>
      </c>
      <c r="B56">
        <v>483.0</v>
      </c>
      <c r="C56">
        <v>400</v>
      </c>
      <c r="D56">
        <f t="shared" si="0"/>
        <v>2526.09</v>
      </c>
      <c r="E56" s="3">
        <f t="shared" si="1"/>
        <v>2926.09</v>
      </c>
    </row>
    <row r="57" spans="1:5" ns3:dyDescent="0.25">
      <c r="A57" t="s">
        <v>92</v>
      </c>
      <c r="B57">
        <v>401.0</v>
      </c>
      <c r="C57">
        <v>400</v>
      </c>
      <c r="D57">
        <f t="shared" si="0"/>
        <v>2097.23</v>
      </c>
      <c r="E57" s="3">
        <f t="shared" si="1"/>
        <v>2497.23</v>
      </c>
    </row>
    <row r="58" spans="1:5" ns3:dyDescent="0.25">
      <c r="A58" t="s">
        <v>93</v>
      </c>
      <c r="B58">
        <v>149.0</v>
      </c>
      <c r="C58">
        <v>400</v>
      </c>
      <c r="D58">
        <f t="shared" si="0"/>
        <v>779.27</v>
      </c>
      <c r="E58" s="3">
        <f t="shared" si="1"/>
        <v>1179.27</v>
      </c>
    </row>
    <row r="59" spans="1:5" ns3:dyDescent="0.25">
      <c r="A59" t="s">
        <v>94</v>
      </c>
      <c r="B59">
        <v>213.0</v>
      </c>
      <c r="C59">
        <v>400</v>
      </c>
      <c r="D59">
        <f t="shared" si="0"/>
        <v>1113.99</v>
      </c>
      <c r="E59" s="3">
        <f t="shared" si="1"/>
        <v>1513.99</v>
      </c>
    </row>
    <row r="60" spans="1:5" ns3:dyDescent="0.25">
      <c r="A60" t="s">
        <v>95</v>
      </c>
      <c r="B60">
        <v>611.0</v>
      </c>
      <c r="C60">
        <v>400</v>
      </c>
      <c r="D60">
        <f t="shared" si="0"/>
        <v>3195.53</v>
      </c>
      <c r="E60" s="3">
        <f t="shared" si="1"/>
        <v>3595.53</v>
      </c>
    </row>
    <row r="61" spans="1:5" ns3:dyDescent="0.25">
      <c r="A61" t="s">
        <v>96</v>
      </c>
      <c r="B61">
        <v>145.0</v>
      </c>
      <c r="C61">
        <v>400</v>
      </c>
      <c r="D61">
        <f t="shared" si="0"/>
        <v>758.35</v>
      </c>
      <c r="E61" s="3">
        <f t="shared" si="1"/>
        <v>1158.35</v>
      </c>
    </row>
    <row r="62" spans="1:5" ns3:dyDescent="0.25">
      <c r="A62" t="s">
        <v>97</v>
      </c>
      <c r="B62">
        <v>543.0</v>
      </c>
      <c r="C62">
        <v>400</v>
      </c>
      <c r="D62">
        <f t="shared" si="0"/>
        <v>2839.89</v>
      </c>
      <c r="E62" s="3">
        <f t="shared" si="1"/>
        <v>3239.89</v>
      </c>
    </row>
    <row r="63" spans="1:5" ns3:dyDescent="0.25">
      <c r="A63" t="s">
        <v>98</v>
      </c>
      <c r="B63">
        <v>935.0</v>
      </c>
      <c r="C63">
        <v>400</v>
      </c>
      <c r="D63">
        <f t="shared" si="0"/>
        <v>4890.05</v>
      </c>
      <c r="E63" s="3">
        <f t="shared" si="1"/>
        <v>5290.05</v>
      </c>
    </row>
    <row r="64" spans="1:5" ns3:dyDescent="0.25">
      <c r="A64" t="s">
        <v>99</v>
      </c>
      <c r="B64">
        <v>809.0</v>
      </c>
      <c r="C64">
        <v>400</v>
      </c>
      <c r="D64">
        <f t="shared" si="0"/>
        <v>4231.07</v>
      </c>
      <c r="E64" s="3">
        <f t="shared" si="1"/>
        <v>4631.07</v>
      </c>
    </row>
    <row r="65" spans="1:5" ns3:dyDescent="0.25">
      <c r="A65" t="s">
        <v>100</v>
      </c>
      <c r="B65">
        <v>301.0</v>
      </c>
      <c r="C65">
        <v>400</v>
      </c>
      <c r="D65">
        <f t="shared" si="0"/>
        <v>1574.23</v>
      </c>
      <c r="E65" s="3">
        <f t="shared" si="1"/>
        <v>1974.23</v>
      </c>
    </row>
    <row r="66" spans="1:5" ns3:dyDescent="0.25">
      <c r="A66" t="s">
        <v>30</v>
      </c>
      <c r="B66">
        <v>185.0</v>
      </c>
      <c r="C66">
        <v>400</v>
      </c>
      <c r="D66">
        <f t="shared" si="0"/>
        <v>967.55</v>
      </c>
      <c r="E66" s="3">
        <f t="shared" si="1"/>
        <v>1367.55</v>
      </c>
    </row>
    <row r="67" spans="1:5" ns3:dyDescent="0.25">
      <c r="A67" t="s">
        <v>31</v>
      </c>
      <c r="B67">
        <v>779.0</v>
      </c>
      <c r="C67">
        <v>400</v>
      </c>
      <c r="D67">
        <f t="shared" ref="D67:D130" si="2">5.23*B67</f>
        <v>4074.17</v>
      </c>
      <c r="E67" s="3">
        <f t="shared" ref="E67:E130" si="3">D67+C67</f>
        <v>4474.17</v>
      </c>
    </row>
    <row r="68" spans="1:5" ns3:dyDescent="0.25">
      <c r="A68" t="s">
        <v>90</v>
      </c>
      <c r="B68">
        <v>173.0</v>
      </c>
      <c r="C68">
        <v>400</v>
      </c>
      <c r="D68">
        <f t="shared" si="2"/>
        <v>904.79</v>
      </c>
      <c r="E68" s="3">
        <f t="shared" si="3"/>
        <v>1304.79</v>
      </c>
    </row>
    <row r="69" spans="1:5" ns3:dyDescent="0.25">
      <c r="A69" t="s">
        <v>101</v>
      </c>
      <c r="B69">
        <v>529.0</v>
      </c>
      <c r="C69">
        <v>400</v>
      </c>
      <c r="D69">
        <f t="shared" si="2"/>
        <v>2766.67</v>
      </c>
      <c r="E69" s="3">
        <f t="shared" si="3"/>
        <v>3166.67</v>
      </c>
    </row>
    <row r="70" spans="1:5" ns3:dyDescent="0.25">
      <c r="A70" t="s">
        <v>32</v>
      </c>
      <c r="B70">
        <v>241.0</v>
      </c>
      <c r="C70">
        <v>400</v>
      </c>
      <c r="D70">
        <f t="shared" si="2"/>
        <v>1260.43</v>
      </c>
      <c r="E70" s="3">
        <f t="shared" si="3"/>
        <v>1660.43</v>
      </c>
    </row>
    <row r="71" spans="1:5" ns3:dyDescent="0.25">
      <c r="A71" t="s">
        <v>863</v>
      </c>
      <c r="B71">
        <v>327.0</v>
      </c>
      <c r="C71">
        <v>400</v>
      </c>
      <c r="D71">
        <f t="shared" si="2"/>
        <v>1710.21</v>
      </c>
      <c r="E71" s="3">
        <f t="shared" si="3"/>
        <v>2110.21</v>
      </c>
    </row>
    <row r="72" spans="1:5" ns3:dyDescent="0.25">
      <c r="A72" t="s">
        <v>33</v>
      </c>
      <c r="B72">
        <v>299.0</v>
      </c>
      <c r="C72">
        <v>400</v>
      </c>
      <c r="D72">
        <f t="shared" si="2"/>
        <v>1563.77</v>
      </c>
      <c r="E72" s="3">
        <f t="shared" si="3"/>
        <v>1963.77</v>
      </c>
    </row>
    <row r="73" spans="1:5" ns3:dyDescent="0.25">
      <c r="A73" t="s">
        <v>654</v>
      </c>
      <c r="B73">
        <v>613.0</v>
      </c>
      <c r="C73">
        <v>400</v>
      </c>
      <c r="D73">
        <f t="shared" si="2"/>
        <v>3205.99</v>
      </c>
      <c r="E73" s="3">
        <f t="shared" si="3"/>
        <v>3605.99</v>
      </c>
    </row>
    <row r="74" spans="1:5" ns3:dyDescent="0.25">
      <c r="A74" t="s">
        <v>655</v>
      </c>
      <c r="B74">
        <v>157.0</v>
      </c>
      <c r="C74">
        <v>400</v>
      </c>
      <c r="D74">
        <f t="shared" si="2"/>
        <v>821.11</v>
      </c>
      <c r="E74" s="3">
        <f t="shared" si="3"/>
        <v>1221.11</v>
      </c>
    </row>
    <row r="75" spans="1:5" ns3:dyDescent="0.25">
      <c r="A75" t="s">
        <v>34</v>
      </c>
      <c r="B75">
        <v>931.0</v>
      </c>
      <c r="C75">
        <v>400</v>
      </c>
      <c r="D75">
        <f t="shared" si="2"/>
        <v>4869.13</v>
      </c>
      <c r="E75" s="3">
        <f t="shared" si="3"/>
        <v>5269.13</v>
      </c>
    </row>
    <row r="76" spans="1:5" ns3:dyDescent="0.25">
      <c r="A76" t="s">
        <v>471</v>
      </c>
      <c r="B76">
        <v>99.0</v>
      </c>
      <c r="C76">
        <v>400</v>
      </c>
      <c r="D76">
        <f t="shared" si="2"/>
        <v>517.77</v>
      </c>
      <c r="E76" s="3">
        <f t="shared" si="3"/>
        <v>917.77</v>
      </c>
    </row>
    <row r="77" spans="1:5" ns3:dyDescent="0.25">
      <c r="A77" t="s">
        <v>472</v>
      </c>
      <c r="B77">
        <v>121.0</v>
      </c>
      <c r="C77">
        <v>400</v>
      </c>
      <c r="D77">
        <f t="shared" si="2"/>
        <v>632.83</v>
      </c>
      <c r="E77" s="3">
        <f t="shared" si="3"/>
        <v>1032.83</v>
      </c>
    </row>
    <row r="78" spans="1:5" ns3:dyDescent="0.25">
      <c r="A78" t="s">
        <v>35</v>
      </c>
      <c r="B78">
        <v>245.0</v>
      </c>
      <c r="C78">
        <v>400</v>
      </c>
      <c r="D78">
        <f t="shared" si="2"/>
        <v>1281.35</v>
      </c>
      <c r="E78" s="3">
        <f t="shared" si="3"/>
        <v>1681.35</v>
      </c>
    </row>
    <row r="79" spans="1:5" ns3:dyDescent="0.25">
      <c r="A79" t="s">
        <v>36</v>
      </c>
      <c r="B79">
        <v>835.0</v>
      </c>
      <c r="C79">
        <v>400</v>
      </c>
      <c r="D79">
        <f t="shared" si="2"/>
        <v>4367.05</v>
      </c>
      <c r="E79" s="3">
        <f t="shared" si="3"/>
        <v>4767.05</v>
      </c>
    </row>
    <row r="80" spans="1:5" ns3:dyDescent="0.25">
      <c r="A80" t="s">
        <v>37</v>
      </c>
      <c r="B80">
        <v>61.0</v>
      </c>
      <c r="C80">
        <v>400</v>
      </c>
      <c r="D80">
        <f t="shared" si="2"/>
        <v>319.03</v>
      </c>
      <c r="E80" s="3">
        <f t="shared" si="3"/>
        <v>719.03</v>
      </c>
    </row>
    <row r="81" spans="1:5" ns3:dyDescent="0.25">
      <c r="A81" t="s">
        <v>695</v>
      </c>
      <c r="B81">
        <v>277.0</v>
      </c>
      <c r="C81">
        <v>400</v>
      </c>
      <c r="D81">
        <f t="shared" si="2"/>
        <v>1448.71</v>
      </c>
      <c r="E81" s="3">
        <f t="shared" si="3"/>
        <v>1848.71</v>
      </c>
    </row>
    <row r="82" spans="1:5" ns3:dyDescent="0.25">
      <c r="A82" t="s">
        <v>864</v>
      </c>
      <c r="B82">
        <v>535.0</v>
      </c>
      <c r="C82">
        <v>400</v>
      </c>
      <c r="D82">
        <f t="shared" si="2"/>
        <v>2798.05</v>
      </c>
      <c r="E82" s="3">
        <f t="shared" si="3"/>
        <v>3198.05</v>
      </c>
    </row>
    <row r="83" spans="1:5" ns3:dyDescent="0.25">
      <c r="A83" t="s">
        <v>38</v>
      </c>
      <c r="B83">
        <v>895.0</v>
      </c>
      <c r="C83">
        <v>400</v>
      </c>
      <c r="D83">
        <f t="shared" si="2"/>
        <v>4680.85</v>
      </c>
      <c r="E83" s="3">
        <f t="shared" si="3"/>
        <v>5080.85</v>
      </c>
    </row>
    <row r="84" spans="1:5" ns3:dyDescent="0.25">
      <c r="A84" t="s">
        <v>39</v>
      </c>
      <c r="B84">
        <v>937.0</v>
      </c>
      <c r="C84">
        <v>400</v>
      </c>
      <c r="D84">
        <f t="shared" si="2"/>
        <v>4900.51</v>
      </c>
      <c r="E84" s="3">
        <f t="shared" si="3"/>
        <v>5300.51</v>
      </c>
    </row>
    <row r="85" spans="1:5" ns3:dyDescent="0.25">
      <c r="A85" t="s">
        <v>40</v>
      </c>
      <c r="B85">
        <v>891.0</v>
      </c>
      <c r="C85">
        <v>400</v>
      </c>
      <c r="D85">
        <f t="shared" si="2"/>
        <v>4659.93</v>
      </c>
      <c r="E85" s="3">
        <f t="shared" si="3"/>
        <v>5059.93</v>
      </c>
    </row>
    <row r="86" spans="1:5" ns3:dyDescent="0.25">
      <c r="A86" t="s">
        <v>102</v>
      </c>
      <c r="B86">
        <v>155.0</v>
      </c>
      <c r="C86">
        <v>400</v>
      </c>
      <c r="D86">
        <f t="shared" si="2"/>
        <v>810.65</v>
      </c>
      <c r="E86" s="3">
        <f t="shared" si="3"/>
        <v>1210.65</v>
      </c>
    </row>
    <row r="87" spans="1:5" ns3:dyDescent="0.25">
      <c r="A87" t="s">
        <v>41</v>
      </c>
      <c r="B87">
        <v>451.0</v>
      </c>
      <c r="C87">
        <v>400</v>
      </c>
      <c r="D87">
        <f t="shared" si="2"/>
        <v>2358.73</v>
      </c>
      <c r="E87" s="3">
        <f t="shared" si="3"/>
        <v>2758.73</v>
      </c>
    </row>
    <row r="88" spans="1:5" ns3:dyDescent="0.25">
      <c r="A88" t="s">
        <v>865</v>
      </c>
      <c r="B88">
        <v>153.0</v>
      </c>
      <c r="C88">
        <v>400</v>
      </c>
      <c r="D88">
        <f t="shared" si="2"/>
        <v>800.19</v>
      </c>
      <c r="E88" s="3">
        <f t="shared" si="3"/>
        <v>1200.19</v>
      </c>
    </row>
    <row r="89" spans="1:5" ns3:dyDescent="0.25">
      <c r="A89" t="s">
        <v>866</v>
      </c>
      <c r="B89">
        <v>807.0</v>
      </c>
      <c r="C89">
        <v>400</v>
      </c>
      <c r="D89">
        <f t="shared" si="2"/>
        <v>4220.61</v>
      </c>
      <c r="E89" s="3">
        <f t="shared" si="3"/>
        <v>4620.61</v>
      </c>
    </row>
    <row r="90" spans="1:5" ns3:dyDescent="0.25">
      <c r="A90" t="s">
        <v>42</v>
      </c>
      <c r="B90">
        <v>367.0</v>
      </c>
      <c r="C90">
        <v>400</v>
      </c>
      <c r="D90">
        <f t="shared" si="2"/>
        <v>1919.41</v>
      </c>
      <c r="E90" s="3">
        <f t="shared" si="3"/>
        <v>2319.41</v>
      </c>
    </row>
    <row r="91" spans="1:5" ns3:dyDescent="0.25">
      <c r="A91" t="s">
        <v>867</v>
      </c>
      <c r="B91">
        <v>299.0</v>
      </c>
      <c r="C91">
        <v>400</v>
      </c>
      <c r="D91">
        <f t="shared" si="2"/>
        <v>1563.77</v>
      </c>
      <c r="E91" s="3">
        <f t="shared" si="3"/>
        <v>1963.77</v>
      </c>
    </row>
    <row r="92" spans="1:5" ns3:dyDescent="0.25">
      <c r="A92" t="s">
        <v>43</v>
      </c>
      <c r="B92">
        <v>309.0</v>
      </c>
      <c r="C92">
        <v>400</v>
      </c>
      <c r="D92">
        <f t="shared" si="2"/>
        <v>1616.07</v>
      </c>
      <c r="E92" s="3">
        <f t="shared" si="3"/>
        <v>2016.07</v>
      </c>
    </row>
    <row r="93" spans="1:5" ns3:dyDescent="0.25">
      <c r="A93" t="s">
        <v>868</v>
      </c>
      <c r="B93">
        <v>131.0</v>
      </c>
      <c r="C93">
        <v>400</v>
      </c>
      <c r="D93">
        <f t="shared" si="2"/>
        <v>685.13</v>
      </c>
      <c r="E93" s="3">
        <f t="shared" si="3"/>
        <v>1085.13</v>
      </c>
    </row>
    <row r="94" spans="1:5" ns3:dyDescent="0.25">
      <c r="A94" t="s">
        <v>44</v>
      </c>
      <c r="B94">
        <v>841.0</v>
      </c>
      <c r="C94">
        <v>400</v>
      </c>
      <c r="D94">
        <f t="shared" si="2"/>
        <v>4398.43</v>
      </c>
      <c r="E94" s="3">
        <f t="shared" si="3"/>
        <v>4798.43</v>
      </c>
    </row>
    <row r="95" spans="1:5" ns3:dyDescent="0.25">
      <c r="A95" t="s">
        <v>45</v>
      </c>
      <c r="B95">
        <v>905.0</v>
      </c>
      <c r="C95">
        <v>400</v>
      </c>
      <c r="D95">
        <f t="shared" si="2"/>
        <v>4733.15</v>
      </c>
      <c r="E95" s="3">
        <f t="shared" si="3"/>
        <v>5133.15</v>
      </c>
    </row>
    <row r="96" spans="1:5" ns3:dyDescent="0.25">
      <c r="A96" t="s">
        <v>46</v>
      </c>
      <c r="B96">
        <v>817.0</v>
      </c>
      <c r="C96">
        <v>400</v>
      </c>
      <c r="D96">
        <f t="shared" si="2"/>
        <v>4272.91</v>
      </c>
      <c r="E96" s="3">
        <f t="shared" si="3"/>
        <v>4672.91</v>
      </c>
    </row>
    <row r="97" spans="1:5" ns3:dyDescent="0.25">
      <c r="A97" t="s">
        <v>696</v>
      </c>
      <c r="B97">
        <v>645.0</v>
      </c>
      <c r="C97">
        <v>400</v>
      </c>
      <c r="D97">
        <f t="shared" si="2"/>
        <v>3373.35</v>
      </c>
      <c r="E97" s="3">
        <f t="shared" si="3"/>
        <v>3773.35</v>
      </c>
    </row>
    <row r="98" spans="1:5" ns3:dyDescent="0.25">
      <c r="A98" t="s">
        <v>869</v>
      </c>
      <c r="B98">
        <v>63.0</v>
      </c>
      <c r="C98">
        <v>400</v>
      </c>
      <c r="D98">
        <f t="shared" si="2"/>
        <v>329.49</v>
      </c>
      <c r="E98" s="3">
        <f t="shared" si="3"/>
        <v>729.49</v>
      </c>
    </row>
    <row r="99" spans="1:5" ns3:dyDescent="0.25">
      <c r="A99" t="s">
        <v>764</v>
      </c>
      <c r="B99">
        <v>483.0</v>
      </c>
      <c r="C99">
        <v>400</v>
      </c>
      <c r="D99">
        <f t="shared" si="2"/>
        <v>2526.09</v>
      </c>
      <c r="E99" s="3">
        <f t="shared" si="3"/>
        <v>2926.09</v>
      </c>
    </row>
    <row r="100" spans="1:5" ns3:dyDescent="0.25">
      <c r="A100" t="s">
        <v>47</v>
      </c>
      <c r="B100">
        <v>901.0</v>
      </c>
      <c r="C100">
        <v>400</v>
      </c>
      <c r="D100">
        <f t="shared" si="2"/>
        <v>4712.23</v>
      </c>
      <c r="E100" s="3">
        <f t="shared" si="3"/>
        <v>5112.23</v>
      </c>
    </row>
    <row r="101" spans="1:5" ns3:dyDescent="0.25">
      <c r="A101" t="s">
        <v>48</v>
      </c>
      <c r="B101">
        <v>217.0</v>
      </c>
      <c r="C101">
        <v>400</v>
      </c>
      <c r="D101">
        <f t="shared" si="2"/>
        <v>1134.91</v>
      </c>
      <c r="E101" s="3">
        <f t="shared" si="3"/>
        <v>1534.91</v>
      </c>
    </row>
    <row r="102" spans="1:5" ns3:dyDescent="0.25">
      <c r="A102" t="s">
        <v>49</v>
      </c>
      <c r="B102">
        <v>271.0</v>
      </c>
      <c r="C102">
        <v>400</v>
      </c>
      <c r="D102">
        <f t="shared" si="2"/>
        <v>1417.33</v>
      </c>
      <c r="E102" s="3">
        <f t="shared" si="3"/>
        <v>1817.33</v>
      </c>
    </row>
    <row r="103" spans="1:5" ns3:dyDescent="0.25">
      <c r="A103" t="s">
        <v>50</v>
      </c>
      <c r="B103">
        <v>91.0</v>
      </c>
      <c r="C103">
        <v>400</v>
      </c>
      <c r="D103">
        <f t="shared" si="2"/>
        <v>475.93</v>
      </c>
      <c r="E103" s="3">
        <f t="shared" si="3"/>
        <v>875.93</v>
      </c>
    </row>
    <row r="104" spans="1:5" ns3:dyDescent="0.25">
      <c r="A104" t="s">
        <v>51</v>
      </c>
      <c r="B104">
        <v>855.0</v>
      </c>
      <c r="C104">
        <v>400</v>
      </c>
      <c r="D104">
        <f t="shared" si="2"/>
        <v>4471.65</v>
      </c>
      <c r="E104" s="3">
        <f t="shared" si="3"/>
        <v>4871.65</v>
      </c>
    </row>
    <row r="105" spans="1:5" ns3:dyDescent="0.25">
      <c r="A105" t="s">
        <v>52</v>
      </c>
      <c r="B105">
        <v>939.0</v>
      </c>
      <c r="C105">
        <v>400</v>
      </c>
      <c r="D105">
        <f t="shared" si="2"/>
        <v>4910.97</v>
      </c>
      <c r="E105" s="3">
        <f t="shared" si="3"/>
        <v>5310.97</v>
      </c>
    </row>
    <row r="106" spans="1:5" ns3:dyDescent="0.25">
      <c r="A106" t="s">
        <v>53</v>
      </c>
      <c r="B106">
        <v>719.0</v>
      </c>
      <c r="C106">
        <v>400</v>
      </c>
      <c r="D106">
        <f t="shared" si="2"/>
        <v>3760.37</v>
      </c>
      <c r="E106" s="3">
        <f t="shared" si="3"/>
        <v>4160.37</v>
      </c>
    </row>
    <row r="107" spans="1:5" ns3:dyDescent="0.25">
      <c r="A107" t="s">
        <v>54</v>
      </c>
      <c r="B107">
        <v>159.0</v>
      </c>
      <c r="C107">
        <v>400</v>
      </c>
      <c r="D107">
        <f t="shared" si="2"/>
        <v>831.57</v>
      </c>
      <c r="E107" s="3">
        <f t="shared" si="3"/>
        <v>1231.57</v>
      </c>
    </row>
    <row r="108" spans="1:5" ns3:dyDescent="0.25">
      <c r="A108" t="s">
        <v>55</v>
      </c>
      <c r="B108">
        <v>763.0</v>
      </c>
      <c r="C108">
        <v>400</v>
      </c>
      <c r="D108">
        <f t="shared" si="2"/>
        <v>3990.49</v>
      </c>
      <c r="E108" s="3">
        <f t="shared" si="3"/>
        <v>4390.49</v>
      </c>
    </row>
    <row r="109" spans="1:5" ns3:dyDescent="0.25">
      <c r="A109" t="s">
        <v>56</v>
      </c>
      <c r="B109">
        <v>181.0</v>
      </c>
      <c r="C109">
        <v>400</v>
      </c>
      <c r="D109">
        <f t="shared" si="2"/>
        <v>946.63</v>
      </c>
      <c r="E109" s="3">
        <f t="shared" si="3"/>
        <v>1346.63</v>
      </c>
    </row>
    <row r="110" spans="1:5" ns3:dyDescent="0.25">
      <c r="A110" t="s">
        <v>57</v>
      </c>
      <c r="B110">
        <v>127.0</v>
      </c>
      <c r="C110">
        <v>400</v>
      </c>
      <c r="D110">
        <f t="shared" si="2"/>
        <v>664.21</v>
      </c>
      <c r="E110" s="3">
        <f t="shared" si="3"/>
        <v>1064.21</v>
      </c>
    </row>
    <row r="111" spans="1:5" ns3:dyDescent="0.25">
      <c r="A111" t="s">
        <v>58</v>
      </c>
      <c r="B111">
        <v>249.0</v>
      </c>
      <c r="C111">
        <v>400</v>
      </c>
      <c r="D111">
        <f t="shared" si="2"/>
        <v>1302.27</v>
      </c>
      <c r="E111" s="3">
        <f t="shared" si="3"/>
        <v>1702.27</v>
      </c>
    </row>
    <row r="112" spans="1:5" ns3:dyDescent="0.25">
      <c r="A112" t="s">
        <v>870</v>
      </c>
      <c r="B112">
        <v>941.0</v>
      </c>
      <c r="C112">
        <v>400</v>
      </c>
      <c r="D112">
        <f t="shared" si="2"/>
        <v>4921.43</v>
      </c>
      <c r="E112" s="3">
        <f t="shared" si="3"/>
        <v>5321.43</v>
      </c>
    </row>
    <row r="113" spans="1:5" ns3:dyDescent="0.25">
      <c r="A113" t="s">
        <v>59</v>
      </c>
      <c r="B113">
        <v>509.0</v>
      </c>
      <c r="C113">
        <v>400</v>
      </c>
      <c r="D113">
        <f t="shared" si="2"/>
        <v>2662.07</v>
      </c>
      <c r="E113" s="3">
        <f t="shared" si="3"/>
        <v>3062.07</v>
      </c>
    </row>
    <row r="114" spans="1:5" ns3:dyDescent="0.25">
      <c r="A114" t="s">
        <v>60</v>
      </c>
      <c r="B114">
        <v>761.0</v>
      </c>
      <c r="C114">
        <v>400</v>
      </c>
      <c r="D114">
        <f t="shared" si="2"/>
        <v>3980.03</v>
      </c>
      <c r="E114" s="3">
        <f t="shared" si="3"/>
        <v>4380.03</v>
      </c>
    </row>
    <row r="115" spans="1:5" ns3:dyDescent="0.25">
      <c r="A115" t="s">
        <v>871</v>
      </c>
      <c r="B115">
        <v>129.0</v>
      </c>
      <c r="C115">
        <v>450</v>
      </c>
      <c r="D115">
        <f t="shared" si="2"/>
        <v>674.67</v>
      </c>
      <c r="E115" s="3">
        <f t="shared" si="3"/>
        <v>1124.67</v>
      </c>
    </row>
    <row r="116" spans="1:5" ns3:dyDescent="0.25">
      <c r="A116" t="s">
        <v>61</v>
      </c>
      <c r="B116">
        <v>903.0</v>
      </c>
      <c r="C116">
        <v>450</v>
      </c>
      <c r="D116">
        <f t="shared" si="2"/>
        <v>4722.69</v>
      </c>
      <c r="E116" s="3">
        <f t="shared" si="3"/>
        <v>5172.69</v>
      </c>
    </row>
    <row r="117" spans="1:5" ns3:dyDescent="0.25">
      <c r="A117" t="s">
        <v>62</v>
      </c>
      <c r="B117">
        <v>845.0</v>
      </c>
      <c r="C117">
        <v>450</v>
      </c>
      <c r="D117">
        <f t="shared" si="2"/>
        <v>4419.35</v>
      </c>
      <c r="E117" s="3">
        <f t="shared" si="3"/>
        <v>4869.35</v>
      </c>
    </row>
    <row r="118" spans="1:5" ns3:dyDescent="0.25">
      <c r="A118" t="s">
        <v>63</v>
      </c>
      <c r="B118">
        <v>187.0</v>
      </c>
      <c r="C118">
        <v>450</v>
      </c>
      <c r="D118">
        <f t="shared" si="2"/>
        <v>978.01</v>
      </c>
      <c r="E118" s="3">
        <f t="shared" si="3"/>
        <v>1428.01</v>
      </c>
    </row>
    <row r="119" spans="1:5" ns3:dyDescent="0.25">
      <c r="A119" t="s">
        <v>872</v>
      </c>
      <c r="B119">
        <v>537.0</v>
      </c>
      <c r="C119">
        <v>450</v>
      </c>
      <c r="D119">
        <f t="shared" si="2"/>
        <v>2808.51</v>
      </c>
      <c r="E119" s="3">
        <f t="shared" si="3"/>
        <v>3258.51</v>
      </c>
    </row>
    <row r="120" spans="1:5" ns3:dyDescent="0.25">
      <c r="A120" t="s">
        <v>64</v>
      </c>
      <c r="B120">
        <v>99.0</v>
      </c>
      <c r="C120">
        <v>450</v>
      </c>
      <c r="D120">
        <f t="shared" si="2"/>
        <v>517.77</v>
      </c>
      <c r="E120" s="3">
        <f t="shared" si="3"/>
        <v>967.77</v>
      </c>
    </row>
    <row r="121" spans="1:5" ns3:dyDescent="0.25">
      <c r="A121" t="s">
        <v>873</v>
      </c>
      <c r="B121">
        <v>539.0</v>
      </c>
      <c r="C121">
        <v>450</v>
      </c>
      <c r="D121">
        <f t="shared" si="2"/>
        <v>2818.97</v>
      </c>
      <c r="E121" s="3">
        <f t="shared" si="3"/>
        <v>3268.97</v>
      </c>
    </row>
    <row r="122" spans="1:5" ns3:dyDescent="0.25">
      <c r="A122" t="s">
        <v>65</v>
      </c>
      <c r="B122">
        <v>369.0</v>
      </c>
      <c r="C122">
        <v>450</v>
      </c>
      <c r="D122">
        <f t="shared" si="2"/>
        <v>1929.87</v>
      </c>
      <c r="E122" s="3">
        <f t="shared" si="3"/>
        <v>2379.87</v>
      </c>
    </row>
    <row r="123" spans="1:5" ns3:dyDescent="0.25">
      <c r="A123" t="s">
        <v>66</v>
      </c>
      <c r="B123">
        <v>485.0</v>
      </c>
      <c r="C123">
        <v>450</v>
      </c>
      <c r="D123">
        <f t="shared" si="2"/>
        <v>2536.55</v>
      </c>
      <c r="E123" s="3">
        <f t="shared" si="3"/>
        <v>2986.55</v>
      </c>
    </row>
    <row r="124" spans="1:5" ns3:dyDescent="0.25">
      <c r="A124" t="s">
        <v>473</v>
      </c>
      <c r="B124">
        <v>91.0</v>
      </c>
      <c r="C124">
        <v>450</v>
      </c>
      <c r="D124">
        <f t="shared" si="2"/>
        <v>475.93</v>
      </c>
      <c r="E124" s="3">
        <f t="shared" si="3"/>
        <v>925.93</v>
      </c>
    </row>
    <row r="125" spans="1:5" ns3:dyDescent="0.25">
      <c r="A125" t="s">
        <v>67</v>
      </c>
      <c r="B125">
        <v>851.0</v>
      </c>
      <c r="C125">
        <v>450</v>
      </c>
      <c r="D125">
        <f t="shared" si="2"/>
        <v>4450.73</v>
      </c>
      <c r="E125" s="3">
        <f t="shared" si="3"/>
        <v>4900.73</v>
      </c>
    </row>
    <row r="126" spans="1:5" ns3:dyDescent="0.25">
      <c r="A126" t="s">
        <v>68</v>
      </c>
      <c r="B126">
        <v>699.0</v>
      </c>
      <c r="C126">
        <v>450</v>
      </c>
      <c r="D126">
        <f t="shared" si="2"/>
        <v>3655.77</v>
      </c>
      <c r="E126" s="3">
        <f t="shared" si="3"/>
        <v>4105.77</v>
      </c>
    </row>
    <row r="127" spans="1:5" ns3:dyDescent="0.25">
      <c r="A127" t="s">
        <v>69</v>
      </c>
      <c r="B127">
        <v>641.0</v>
      </c>
      <c r="C127">
        <v>450</v>
      </c>
      <c r="D127">
        <f t="shared" si="2"/>
        <v>3352.43</v>
      </c>
      <c r="E127" s="3">
        <f t="shared" si="3"/>
        <v>3802.43</v>
      </c>
    </row>
    <row r="128" spans="1:5" ns3:dyDescent="0.25">
      <c r="A128" t="s">
        <v>70</v>
      </c>
      <c r="B128">
        <v>909.0</v>
      </c>
      <c r="C128">
        <v>450</v>
      </c>
      <c r="D128">
        <f t="shared" si="2"/>
        <v>4754.07</v>
      </c>
      <c r="E128" s="3">
        <f t="shared" si="3"/>
        <v>5204.07</v>
      </c>
    </row>
    <row r="129" spans="1:5" ns3:dyDescent="0.25">
      <c r="A129" t="s">
        <v>903</v>
      </c>
      <c r="B129">
        <v>305.0</v>
      </c>
      <c r="C129">
        <v>450</v>
      </c>
      <c r="D129">
        <f t="shared" si="2"/>
        <v>1595.15</v>
      </c>
      <c r="E129" s="3">
        <f t="shared" si="3"/>
        <v>2045.15</v>
      </c>
    </row>
    <row r="130" spans="1:5" ns3:dyDescent="0.25">
      <c r="A130" t="s">
        <v>904</v>
      </c>
      <c r="B130">
        <v>315.0</v>
      </c>
      <c r="C130">
        <v>450</v>
      </c>
      <c r="D130">
        <f t="shared" si="2"/>
        <v>1647.45</v>
      </c>
      <c r="E130" s="3">
        <f t="shared" si="3"/>
        <v>2097.45</v>
      </c>
    </row>
    <row r="131" spans="1:5" ns3:dyDescent="0.25">
      <c r="A131" t="s">
        <v>71</v>
      </c>
      <c r="B131">
        <v>215.0</v>
      </c>
      <c r="C131">
        <v>450</v>
      </c>
      <c r="D131">
        <f t="shared" ref="D131:D136" si="4">5.23*B131</f>
        <v>1124.45</v>
      </c>
      <c r="E131" s="3">
        <f t="shared" ref="E131:E136" si="5">D131+C131</f>
        <v>1574.45</v>
      </c>
    </row>
    <row r="132" spans="1:5" ns3:dyDescent="0.25">
      <c r="A132" t="s">
        <v>905</v>
      </c>
      <c r="B132">
        <v>753.0</v>
      </c>
      <c r="C132">
        <v>450</v>
      </c>
      <c r="D132">
        <f t="shared" si="4"/>
        <v>3938.19</v>
      </c>
      <c r="E132" s="3">
        <f t="shared" si="5"/>
        <v>4388.19</v>
      </c>
    </row>
    <row r="133" spans="1:5" ns3:dyDescent="0.25">
      <c r="A133" t="s">
        <v>103</v>
      </c>
      <c r="B133">
        <v>549.0</v>
      </c>
      <c r="C133">
        <v>450</v>
      </c>
      <c r="D133">
        <f t="shared" si="4"/>
        <v>2871.27</v>
      </c>
      <c r="E133" s="3">
        <f t="shared" si="5"/>
        <v>3321.27</v>
      </c>
    </row>
    <row r="134" spans="1:5" ns3:dyDescent="0.25">
      <c r="A134" t="s">
        <v>72</v>
      </c>
      <c r="B134">
        <v>837.0</v>
      </c>
      <c r="C134">
        <v>450</v>
      </c>
      <c r="D134">
        <f t="shared" si="4"/>
        <v>4377.51</v>
      </c>
      <c r="E134" s="3">
        <f t="shared" si="5"/>
        <v>4827.51</v>
      </c>
    </row>
    <row r="135" spans="1:5" ns3:dyDescent="0.25">
      <c r="A135" t="s">
        <v>906</v>
      </c>
      <c r="B135">
        <v>373.0</v>
      </c>
      <c r="C135">
        <v>450</v>
      </c>
      <c r="D135">
        <f t="shared" si="4"/>
        <v>1950.79</v>
      </c>
      <c r="E135" s="3">
        <f t="shared" si="5"/>
        <v>2400.79</v>
      </c>
    </row>
    <row r="136" spans="1:5" ns3:dyDescent="0.25">
      <c r="A136" t="s">
        <v>73</v>
      </c>
      <c r="B136">
        <v>211.0</v>
      </c>
      <c r="C136">
        <v>450</v>
      </c>
      <c r="D136">
        <f t="shared" si="4"/>
        <v>1103.53</v>
      </c>
      <c r="E136" s="3">
        <f t="shared" si="5"/>
        <v>1553.53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ns4:id="rId1"/>
  <tableParts count="1">
    <tablePart ns4:id="rId2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8F390139-0A5F-490B-B68C-2972BAAB0A03}">
  <dimension ref="A1:G133"/>
  <sheetViews>
    <sheetView zoomScale="98" zoomScaleNormal="98" workbookViewId="0">
      <selection sqref="A1:A133"/>
    </sheetView>
  </sheetViews>
  <sheetFormatPr defaultRowHeight="15" ns3:dyDescent="0.25"/>
  <cols>
    <col min="1" max="1" width="69.28515625" customWidth="1"/>
    <col min="2" max="6" width="0" hidden="1" customWidth="1"/>
    <col min="7" max="7" width="13.28515625" style="3" bestFit="1" customWidth="1"/>
  </cols>
  <sheetData>
    <row r="1" spans="1:7" ns3:dyDescent="0.25">
      <c r="A1" t="s">
        <v>74</v>
      </c>
    </row>
    <row r="2" spans="1:7" ns3:dyDescent="0.25">
      <c r="A2" t="s">
        <v>726</v>
      </c>
      <c r="B2">
        <v>881.0</v>
      </c>
      <c r="C2" s="2">
        <v>0.15</v>
      </c>
      <c r="D2">
        <v>50</v>
      </c>
      <c r="E2">
        <f>5.23*B2</f>
        <v>4607.63</v>
      </c>
      <c r="F2">
        <f>E2*C2</f>
        <v>691.1445</v>
      </c>
      <c r="G2" s="3">
        <f>F2+E2+D2</f>
        <v>5348.7745</v>
      </c>
    </row>
    <row r="3" spans="1:7" ns3:dyDescent="0.25">
      <c r="A3" t="s">
        <v>356</v>
      </c>
      <c r="B3">
        <v>251.0</v>
      </c>
      <c r="C3" s="2">
        <v>0.15</v>
      </c>
      <c r="D3">
        <v>50</v>
      </c>
      <c r="E3">
        <f t="shared" ref="E3:E66" si="0">5.23*B3</f>
        <v>1312.73</v>
      </c>
      <c r="F3">
        <f t="shared" ref="F3:F66" si="1">E3*C3</f>
        <v>196.9095</v>
      </c>
      <c r="G3" s="3">
        <f t="shared" ref="G3:G66" si="2">F3+E3+D3</f>
        <v>1559.6395</v>
      </c>
    </row>
    <row r="4" spans="1:7" ns3:dyDescent="0.25">
      <c r="A4" t="s">
        <v>727</v>
      </c>
      <c r="B4">
        <v>247.0</v>
      </c>
      <c r="C4" s="2">
        <v>0.15</v>
      </c>
      <c r="D4">
        <v>50</v>
      </c>
      <c r="E4">
        <f t="shared" si="0"/>
        <v>1291.81</v>
      </c>
      <c r="F4">
        <f t="shared" si="1"/>
        <v>193.7715</v>
      </c>
      <c r="G4" s="3">
        <f t="shared" si="2"/>
        <v>1535.5815</v>
      </c>
    </row>
    <row r="5" spans="1:7" ns3:dyDescent="0.25">
      <c r="A5" t="s">
        <v>689</v>
      </c>
      <c r="B5">
        <v>195.0</v>
      </c>
      <c r="C5" s="2">
        <v>0.15</v>
      </c>
      <c r="D5">
        <v>50</v>
      </c>
      <c r="E5">
        <f t="shared" si="0"/>
        <v>1019.85</v>
      </c>
      <c r="F5">
        <f t="shared" si="1"/>
        <v>152.9775</v>
      </c>
      <c r="G5" s="3">
        <f t="shared" si="2"/>
        <v>1222.8275</v>
      </c>
    </row>
    <row r="6" spans="1:7" ns3:dyDescent="0.25">
      <c r="A6" t="s">
        <v>690</v>
      </c>
      <c r="B6">
        <v>725.0</v>
      </c>
      <c r="C6" s="2">
        <v>0.15</v>
      </c>
      <c r="D6">
        <v>50</v>
      </c>
      <c r="E6">
        <f t="shared" si="0"/>
        <v>3791.75</v>
      </c>
      <c r="F6">
        <f t="shared" si="1"/>
        <v>568.7625</v>
      </c>
      <c r="G6" s="3">
        <f t="shared" si="2"/>
        <v>4410.5125</v>
      </c>
    </row>
    <row r="7" spans="1:7" ns3:dyDescent="0.25">
      <c r="A7" t="s">
        <v>691</v>
      </c>
      <c r="B7">
        <v>253.0</v>
      </c>
      <c r="C7" s="2">
        <v>0.15</v>
      </c>
      <c r="D7">
        <v>50</v>
      </c>
      <c r="E7">
        <f t="shared" si="0"/>
        <v>1323.19</v>
      </c>
      <c r="F7">
        <f t="shared" si="1"/>
        <v>198.4785</v>
      </c>
      <c r="G7" s="3">
        <f t="shared" si="2"/>
        <v>1571.6685</v>
      </c>
    </row>
    <row r="8" spans="1:7" ns3:dyDescent="0.25">
      <c r="A8" t="s">
        <v>357</v>
      </c>
      <c r="B8">
        <v>649.0</v>
      </c>
      <c r="C8" s="2">
        <v>0.15</v>
      </c>
      <c r="D8">
        <v>50</v>
      </c>
      <c r="E8">
        <f t="shared" si="0"/>
        <v>3394.27</v>
      </c>
      <c r="F8">
        <f t="shared" si="1"/>
        <v>509.1405</v>
      </c>
      <c r="G8" s="3">
        <f t="shared" si="2"/>
        <v>3953.4105</v>
      </c>
    </row>
    <row r="9" spans="1:7" ns3:dyDescent="0.25">
      <c r="A9" t="s">
        <v>358</v>
      </c>
      <c r="B9">
        <v>769.0</v>
      </c>
      <c r="C9" s="2">
        <v>0.15</v>
      </c>
      <c r="D9">
        <v>50</v>
      </c>
      <c r="E9">
        <f t="shared" si="0"/>
        <v>4021.87</v>
      </c>
      <c r="F9">
        <f t="shared" si="1"/>
        <v>603.2805</v>
      </c>
      <c r="G9" s="3">
        <f t="shared" si="2"/>
        <v>4675.1505</v>
      </c>
    </row>
    <row r="10" spans="1:7" ns3:dyDescent="0.25">
      <c r="A10" t="s">
        <v>359</v>
      </c>
      <c r="B10">
        <v>523.0</v>
      </c>
      <c r="C10" s="2">
        <v>0.15</v>
      </c>
      <c r="D10">
        <v>50</v>
      </c>
      <c r="E10">
        <f t="shared" si="0"/>
        <v>2735.29</v>
      </c>
      <c r="F10">
        <f t="shared" si="1"/>
        <v>410.2935</v>
      </c>
      <c r="G10" s="3">
        <f t="shared" si="2"/>
        <v>3195.5835</v>
      </c>
    </row>
    <row r="11" spans="1:7" ns3:dyDescent="0.25">
      <c r="A11" t="s">
        <v>650</v>
      </c>
      <c r="B11">
        <v>197.0</v>
      </c>
      <c r="C11" s="2">
        <v>0.15</v>
      </c>
      <c r="D11">
        <v>50</v>
      </c>
      <c r="E11">
        <f t="shared" si="0"/>
        <v>1030.31</v>
      </c>
      <c r="F11">
        <f t="shared" si="1"/>
        <v>154.5465</v>
      </c>
      <c r="G11" s="3">
        <f t="shared" si="2"/>
        <v>1234.8565</v>
      </c>
    </row>
    <row r="12" spans="1:7" ns3:dyDescent="0.25">
      <c r="A12" t="s">
        <v>651</v>
      </c>
      <c r="B12">
        <v>255.0</v>
      </c>
      <c r="C12" s="2">
        <v>0.15</v>
      </c>
      <c r="D12">
        <v>50</v>
      </c>
      <c r="E12">
        <f t="shared" si="0"/>
        <v>1333.65</v>
      </c>
      <c r="F12">
        <f t="shared" si="1"/>
        <v>200.0475</v>
      </c>
      <c r="G12" s="3">
        <f t="shared" si="2"/>
        <v>1583.6975</v>
      </c>
    </row>
    <row r="13" spans="1:7" ns3:dyDescent="0.25">
      <c r="A13" t="s">
        <v>652</v>
      </c>
      <c r="B13">
        <v>323.0</v>
      </c>
      <c r="C13" s="2">
        <v>0.15</v>
      </c>
      <c r="D13">
        <v>50</v>
      </c>
      <c r="E13">
        <f t="shared" si="0"/>
        <v>1689.29</v>
      </c>
      <c r="F13">
        <f t="shared" si="1"/>
        <v>253.3935</v>
      </c>
      <c r="G13" s="3">
        <f t="shared" si="2"/>
        <v>1992.6835</v>
      </c>
    </row>
    <row r="14" spans="1:7" ns3:dyDescent="0.25">
      <c r="A14" t="s">
        <v>360</v>
      </c>
      <c r="B14">
        <v>565.0</v>
      </c>
      <c r="C14" s="2">
        <v>0.15</v>
      </c>
      <c r="D14">
        <v>50</v>
      </c>
      <c r="E14">
        <f t="shared" si="0"/>
        <v>2954.95</v>
      </c>
      <c r="F14">
        <f t="shared" si="1"/>
        <v>443.2425</v>
      </c>
      <c r="G14" s="3">
        <f t="shared" si="2"/>
        <v>3448.1925</v>
      </c>
    </row>
    <row r="15" spans="1:7" ns3:dyDescent="0.25">
      <c r="A15" t="s">
        <v>361</v>
      </c>
      <c r="B15">
        <v>279.0</v>
      </c>
      <c r="C15" s="2">
        <v>0.15</v>
      </c>
      <c r="D15">
        <v>50</v>
      </c>
      <c r="E15">
        <f t="shared" si="0"/>
        <v>1459.17</v>
      </c>
      <c r="F15">
        <f t="shared" si="1"/>
        <v>218.8755</v>
      </c>
      <c r="G15" s="3">
        <f t="shared" si="2"/>
        <v>1728.0455</v>
      </c>
    </row>
    <row r="16" spans="1:7" ns3:dyDescent="0.25">
      <c r="A16" t="s">
        <v>362</v>
      </c>
      <c r="B16">
        <v>881.0</v>
      </c>
      <c r="C16" s="2">
        <v>0.15</v>
      </c>
      <c r="D16">
        <v>50</v>
      </c>
      <c r="E16">
        <f t="shared" si="0"/>
        <v>4607.63</v>
      </c>
      <c r="F16">
        <f t="shared" si="1"/>
        <v>691.1445</v>
      </c>
      <c r="G16" s="3">
        <f t="shared" si="2"/>
        <v>5348.7745</v>
      </c>
    </row>
    <row r="17" spans="1:7" ns3:dyDescent="0.25">
      <c r="A17" t="s">
        <v>363</v>
      </c>
      <c r="B17">
        <v>195.0</v>
      </c>
      <c r="C17" s="2">
        <v>0.15</v>
      </c>
      <c r="D17">
        <v>50</v>
      </c>
      <c r="E17">
        <f t="shared" si="0"/>
        <v>1019.85</v>
      </c>
      <c r="F17">
        <f t="shared" si="1"/>
        <v>152.9775</v>
      </c>
      <c r="G17" s="3">
        <f t="shared" si="2"/>
        <v>1222.8275</v>
      </c>
    </row>
    <row r="18" spans="1:7" ns3:dyDescent="0.25">
      <c r="A18" t="s">
        <v>364</v>
      </c>
      <c r="B18">
        <v>885.0</v>
      </c>
      <c r="C18" s="2">
        <v>0.15</v>
      </c>
      <c r="D18">
        <v>50</v>
      </c>
      <c r="E18">
        <f t="shared" si="0"/>
        <v>4628.55</v>
      </c>
      <c r="F18">
        <f t="shared" si="1"/>
        <v>694.2825</v>
      </c>
      <c r="G18" s="3">
        <f t="shared" si="2"/>
        <v>5372.8325</v>
      </c>
    </row>
    <row r="19" spans="1:7" ns3:dyDescent="0.25">
      <c r="A19" t="s">
        <v>365</v>
      </c>
      <c r="B19">
        <v>879.0</v>
      </c>
      <c r="C19" s="2">
        <v>0.15</v>
      </c>
      <c r="D19">
        <v>50</v>
      </c>
      <c r="E19">
        <f t="shared" si="0"/>
        <v>4597.17</v>
      </c>
      <c r="F19">
        <f t="shared" si="1"/>
        <v>689.5755</v>
      </c>
      <c r="G19" s="3">
        <f t="shared" si="2"/>
        <v>5336.7455</v>
      </c>
    </row>
    <row r="20" spans="1:7" ns3:dyDescent="0.25">
      <c r="A20" t="s">
        <v>366</v>
      </c>
      <c r="B20">
        <v>445.0</v>
      </c>
      <c r="C20" s="2">
        <v>0.15</v>
      </c>
      <c r="D20">
        <v>50</v>
      </c>
      <c r="E20">
        <f t="shared" si="0"/>
        <v>2327.35</v>
      </c>
      <c r="F20">
        <f t="shared" si="1"/>
        <v>349.1025</v>
      </c>
      <c r="G20" s="3">
        <f t="shared" si="2"/>
        <v>2726.4525</v>
      </c>
    </row>
    <row r="21" spans="1:7" ns3:dyDescent="0.25">
      <c r="A21" t="s">
        <v>367</v>
      </c>
      <c r="B21">
        <v>795.0</v>
      </c>
      <c r="C21" s="2">
        <v>0.15</v>
      </c>
      <c r="D21">
        <v>50</v>
      </c>
      <c r="E21">
        <f t="shared" si="0"/>
        <v>4157.85</v>
      </c>
      <c r="F21">
        <f t="shared" si="1"/>
        <v>623.6775</v>
      </c>
      <c r="G21" s="3">
        <f t="shared" si="2"/>
        <v>4831.5275</v>
      </c>
    </row>
    <row r="22" spans="1:7" ns3:dyDescent="0.25">
      <c r="A22" t="s">
        <v>368</v>
      </c>
      <c r="B22">
        <v>411.0</v>
      </c>
      <c r="C22" s="2">
        <v>0.15</v>
      </c>
      <c r="D22">
        <v>50</v>
      </c>
      <c r="E22">
        <f t="shared" si="0"/>
        <v>2149.53</v>
      </c>
      <c r="F22">
        <f t="shared" si="1"/>
        <v>322.4295</v>
      </c>
      <c r="G22" s="3">
        <f t="shared" si="2"/>
        <v>2521.9595</v>
      </c>
    </row>
    <row r="23" spans="1:7" ns3:dyDescent="0.25">
      <c r="A23" t="s">
        <v>851</v>
      </c>
      <c r="B23">
        <v>159.0</v>
      </c>
      <c r="C23" s="2">
        <v>0.15</v>
      </c>
      <c r="D23">
        <v>50</v>
      </c>
      <c r="E23">
        <f t="shared" si="0"/>
        <v>831.57</v>
      </c>
      <c r="F23">
        <f t="shared" si="1"/>
        <v>124.7355</v>
      </c>
      <c r="G23" s="3">
        <f t="shared" si="2"/>
        <v>1006.3055</v>
      </c>
    </row>
    <row r="24" spans="1:7" ns3:dyDescent="0.25">
      <c r="A24" t="s">
        <v>753</v>
      </c>
      <c r="B24">
        <v>459.0</v>
      </c>
      <c r="C24" s="2">
        <v>0.15</v>
      </c>
      <c r="D24">
        <v>50</v>
      </c>
      <c r="E24">
        <f t="shared" si="0"/>
        <v>2400.57</v>
      </c>
      <c r="F24">
        <f t="shared" si="1"/>
        <v>360.0855</v>
      </c>
      <c r="G24" s="3">
        <f t="shared" si="2"/>
        <v>2810.6555</v>
      </c>
    </row>
    <row r="25" spans="1:7" ns3:dyDescent="0.25">
      <c r="A25" t="s">
        <v>754</v>
      </c>
      <c r="B25">
        <v>731.0</v>
      </c>
      <c r="C25" s="2">
        <v>0.15</v>
      </c>
      <c r="D25">
        <v>50</v>
      </c>
      <c r="E25">
        <f t="shared" si="0"/>
        <v>3823.13</v>
      </c>
      <c r="F25">
        <f t="shared" si="1"/>
        <v>573.4695</v>
      </c>
      <c r="G25" s="3">
        <f t="shared" si="2"/>
        <v>4446.5995</v>
      </c>
    </row>
    <row r="26" spans="1:7" ns3:dyDescent="0.25">
      <c r="A26" t="s">
        <v>755</v>
      </c>
      <c r="B26">
        <v>65.0</v>
      </c>
      <c r="C26" s="2">
        <v>0.15</v>
      </c>
      <c r="D26">
        <v>50</v>
      </c>
      <c r="E26">
        <f t="shared" si="0"/>
        <v>339.95</v>
      </c>
      <c r="F26">
        <f t="shared" si="1"/>
        <v>50.9925</v>
      </c>
      <c r="G26" s="3">
        <f t="shared" si="2"/>
        <v>440.9425</v>
      </c>
    </row>
    <row r="27" spans="1:7" ns3:dyDescent="0.25">
      <c r="A27" t="s">
        <v>756</v>
      </c>
      <c r="B27">
        <v>789.0</v>
      </c>
      <c r="C27" s="2">
        <v>0.15</v>
      </c>
      <c r="D27">
        <v>50</v>
      </c>
      <c r="E27">
        <f t="shared" si="0"/>
        <v>4126.47</v>
      </c>
      <c r="F27">
        <f t="shared" si="1"/>
        <v>618.9705</v>
      </c>
      <c r="G27" s="3">
        <f t="shared" si="2"/>
        <v>4795.4405</v>
      </c>
    </row>
    <row r="28" spans="1:7" ns3:dyDescent="0.25">
      <c r="A28" t="s">
        <v>369</v>
      </c>
      <c r="B28">
        <v>65.0</v>
      </c>
      <c r="C28" s="2">
        <v>0.15</v>
      </c>
      <c r="D28">
        <v>50</v>
      </c>
      <c r="E28">
        <f t="shared" si="0"/>
        <v>339.95</v>
      </c>
      <c r="F28">
        <f t="shared" si="1"/>
        <v>50.9925</v>
      </c>
      <c r="G28" s="3">
        <f t="shared" si="2"/>
        <v>440.9425</v>
      </c>
    </row>
    <row r="29" spans="1:7" ns3:dyDescent="0.25">
      <c r="A29" t="s">
        <v>370</v>
      </c>
      <c r="B29">
        <v>907.0</v>
      </c>
      <c r="C29" s="2">
        <v>0.15</v>
      </c>
      <c r="D29">
        <v>50</v>
      </c>
      <c r="E29">
        <f t="shared" si="0"/>
        <v>4743.61</v>
      </c>
      <c r="F29">
        <f t="shared" si="1"/>
        <v>711.5415</v>
      </c>
      <c r="G29" s="3">
        <f t="shared" si="2"/>
        <v>5505.1515</v>
      </c>
    </row>
    <row r="30" spans="1:7" ns3:dyDescent="0.25">
      <c r="A30" t="s">
        <v>371</v>
      </c>
      <c r="B30">
        <v>933.0</v>
      </c>
      <c r="C30" s="2">
        <v>0.15</v>
      </c>
      <c r="D30">
        <v>50</v>
      </c>
      <c r="E30">
        <f t="shared" si="0"/>
        <v>4879.59</v>
      </c>
      <c r="F30">
        <f t="shared" si="1"/>
        <v>731.9385</v>
      </c>
      <c r="G30" s="3">
        <f t="shared" si="2"/>
        <v>5661.5285</v>
      </c>
    </row>
    <row r="31" spans="1:7" ns3:dyDescent="0.25">
      <c r="A31" t="s">
        <v>372</v>
      </c>
      <c r="B31">
        <v>785.0</v>
      </c>
      <c r="C31" s="2">
        <v>0.1</v>
      </c>
      <c r="D31">
        <v>50</v>
      </c>
      <c r="E31">
        <f t="shared" si="0"/>
        <v>4105.55</v>
      </c>
      <c r="F31">
        <f t="shared" si="1"/>
        <v>410.555</v>
      </c>
      <c r="G31" s="3">
        <f t="shared" si="2"/>
        <v>4566.105</v>
      </c>
    </row>
    <row r="32" spans="1:7" ns3:dyDescent="0.25">
      <c r="A32" t="s">
        <v>757</v>
      </c>
      <c r="B32">
        <v>921.0</v>
      </c>
      <c r="C32" s="2">
        <v>0.1</v>
      </c>
      <c r="D32">
        <v>50</v>
      </c>
      <c r="E32">
        <f t="shared" si="0"/>
        <v>4816.83</v>
      </c>
      <c r="F32">
        <f t="shared" si="1"/>
        <v>481.683</v>
      </c>
      <c r="G32" s="3">
        <f t="shared" si="2"/>
        <v>5348.513</v>
      </c>
    </row>
    <row r="33" spans="1:7" ns3:dyDescent="0.25">
      <c r="A33" t="s">
        <v>758</v>
      </c>
      <c r="B33">
        <v>137.0</v>
      </c>
      <c r="C33" s="2">
        <v>0.1</v>
      </c>
      <c r="D33">
        <v>50</v>
      </c>
      <c r="E33">
        <f t="shared" si="0"/>
        <v>716.51</v>
      </c>
      <c r="F33">
        <f t="shared" si="1"/>
        <v>71.651</v>
      </c>
      <c r="G33" s="3">
        <f t="shared" si="2"/>
        <v>838.161</v>
      </c>
    </row>
    <row r="34" spans="1:7" ns3:dyDescent="0.25">
      <c r="A34" t="s">
        <v>759</v>
      </c>
      <c r="B34">
        <v>761.0</v>
      </c>
      <c r="C34" s="2">
        <v>0.1</v>
      </c>
      <c r="D34">
        <v>50</v>
      </c>
      <c r="E34">
        <f t="shared" si="0"/>
        <v>3980.03</v>
      </c>
      <c r="F34">
        <f t="shared" si="1"/>
        <v>398.003</v>
      </c>
      <c r="G34" s="3">
        <f t="shared" si="2"/>
        <v>4428.033</v>
      </c>
    </row>
    <row r="35" spans="1:7" ns3:dyDescent="0.25">
      <c r="A35" t="s">
        <v>760</v>
      </c>
      <c r="B35">
        <v>73.0</v>
      </c>
      <c r="C35" s="2">
        <v>0.1</v>
      </c>
      <c r="D35">
        <v>50</v>
      </c>
      <c r="E35">
        <f t="shared" si="0"/>
        <v>381.79</v>
      </c>
      <c r="F35">
        <f t="shared" si="1"/>
        <v>38.179</v>
      </c>
      <c r="G35" s="3">
        <f t="shared" si="2"/>
        <v>469.969</v>
      </c>
    </row>
    <row r="36" spans="1:7" ns3:dyDescent="0.25">
      <c r="A36" t="s">
        <v>373</v>
      </c>
      <c r="B36">
        <v>741.0</v>
      </c>
      <c r="C36" s="2">
        <v>0.1</v>
      </c>
      <c r="D36">
        <v>50</v>
      </c>
      <c r="E36">
        <f t="shared" si="0"/>
        <v>3875.43</v>
      </c>
      <c r="F36">
        <f t="shared" si="1"/>
        <v>387.543</v>
      </c>
      <c r="G36" s="3">
        <f t="shared" si="2"/>
        <v>4312.973</v>
      </c>
    </row>
    <row r="37" spans="1:7" ns3:dyDescent="0.25">
      <c r="A37" t="s">
        <v>374</v>
      </c>
      <c r="B37">
        <v>675.0</v>
      </c>
      <c r="C37" s="2">
        <v>0.1</v>
      </c>
      <c r="D37">
        <v>50</v>
      </c>
      <c r="E37">
        <f t="shared" si="0"/>
        <v>3530.25</v>
      </c>
      <c r="F37">
        <f t="shared" si="1"/>
        <v>353.025</v>
      </c>
      <c r="G37" s="3">
        <f t="shared" si="2"/>
        <v>3933.275</v>
      </c>
    </row>
    <row r="38" spans="1:7" ns3:dyDescent="0.25">
      <c r="A38" t="s">
        <v>375</v>
      </c>
      <c r="B38">
        <v>855.0</v>
      </c>
      <c r="C38" s="2">
        <v>0.1</v>
      </c>
      <c r="D38">
        <v>50</v>
      </c>
      <c r="E38">
        <f t="shared" si="0"/>
        <v>4471.65</v>
      </c>
      <c r="F38">
        <f t="shared" si="1"/>
        <v>447.165</v>
      </c>
      <c r="G38" s="3">
        <f t="shared" si="2"/>
        <v>4968.815</v>
      </c>
    </row>
    <row r="39" spans="1:7" ns3:dyDescent="0.25">
      <c r="A39" t="s">
        <v>852</v>
      </c>
      <c r="B39">
        <v>831.0</v>
      </c>
      <c r="C39" s="2">
        <v>0.1</v>
      </c>
      <c r="D39">
        <v>50</v>
      </c>
      <c r="E39">
        <f t="shared" si="0"/>
        <v>4346.13</v>
      </c>
      <c r="F39">
        <f t="shared" si="1"/>
        <v>434.613</v>
      </c>
      <c r="G39" s="3">
        <f t="shared" si="2"/>
        <v>4830.743</v>
      </c>
    </row>
    <row r="40" spans="1:7" ns3:dyDescent="0.25">
      <c r="A40" t="s">
        <v>853</v>
      </c>
      <c r="B40">
        <v>913.0</v>
      </c>
      <c r="C40" s="2">
        <v>0.1</v>
      </c>
      <c r="D40">
        <v>50</v>
      </c>
      <c r="E40">
        <f t="shared" si="0"/>
        <v>4774.99</v>
      </c>
      <c r="F40">
        <f t="shared" si="1"/>
        <v>477.499</v>
      </c>
      <c r="G40" s="3">
        <f t="shared" si="2"/>
        <v>5302.489</v>
      </c>
    </row>
    <row r="41" spans="1:7" ns3:dyDescent="0.25">
      <c r="A41" t="s">
        <v>376</v>
      </c>
      <c r="B41">
        <v>281.0</v>
      </c>
      <c r="C41" s="2">
        <v>0.1</v>
      </c>
      <c r="D41">
        <v>50</v>
      </c>
      <c r="E41">
        <f t="shared" si="0"/>
        <v>1469.63</v>
      </c>
      <c r="F41">
        <f t="shared" si="1"/>
        <v>146.963</v>
      </c>
      <c r="G41" s="3">
        <f t="shared" si="2"/>
        <v>1666.593</v>
      </c>
    </row>
    <row r="42" spans="1:7" ns3:dyDescent="0.25">
      <c r="A42" t="s">
        <v>474</v>
      </c>
      <c r="B42">
        <v>611.0</v>
      </c>
      <c r="C42" s="2">
        <v>0.1</v>
      </c>
      <c r="D42">
        <v>50</v>
      </c>
      <c r="E42">
        <f t="shared" si="0"/>
        <v>3195.53</v>
      </c>
      <c r="F42">
        <f t="shared" si="1"/>
        <v>319.553</v>
      </c>
      <c r="G42" s="3">
        <f t="shared" si="2"/>
        <v>3565.083</v>
      </c>
    </row>
    <row r="43" spans="1:7" ns3:dyDescent="0.25">
      <c r="A43" t="s">
        <v>421</v>
      </c>
      <c r="B43">
        <v>853.0</v>
      </c>
      <c r="C43" s="2">
        <v>0.1</v>
      </c>
      <c r="D43">
        <v>50</v>
      </c>
      <c r="E43">
        <f t="shared" si="0"/>
        <v>4461.19</v>
      </c>
      <c r="F43">
        <f t="shared" si="1"/>
        <v>446.119</v>
      </c>
      <c r="G43" s="3">
        <f t="shared" si="2"/>
        <v>4957.309</v>
      </c>
    </row>
    <row r="44" spans="1:7" ns3:dyDescent="0.25">
      <c r="A44" t="s">
        <v>854</v>
      </c>
      <c r="B44">
        <v>549.0</v>
      </c>
      <c r="C44" s="2">
        <v>0.1</v>
      </c>
      <c r="D44">
        <v>50</v>
      </c>
      <c r="E44">
        <f t="shared" si="0"/>
        <v>2871.27</v>
      </c>
      <c r="F44">
        <f t="shared" si="1"/>
        <v>287.127</v>
      </c>
      <c r="G44" s="3">
        <f t="shared" si="2"/>
        <v>3208.397</v>
      </c>
    </row>
    <row r="45" spans="1:7" ns3:dyDescent="0.25">
      <c r="A45" t="s">
        <v>855</v>
      </c>
      <c r="B45">
        <v>53.0</v>
      </c>
      <c r="C45" s="2">
        <v>0.1</v>
      </c>
      <c r="D45">
        <v>50</v>
      </c>
      <c r="E45">
        <f t="shared" si="0"/>
        <v>277.19</v>
      </c>
      <c r="F45">
        <f t="shared" si="1"/>
        <v>27.719</v>
      </c>
      <c r="G45" s="3">
        <f t="shared" si="2"/>
        <v>354.909</v>
      </c>
    </row>
    <row r="46" spans="1:7" ns3:dyDescent="0.25">
      <c r="A46" t="s">
        <v>475</v>
      </c>
      <c r="B46">
        <v>585.0</v>
      </c>
      <c r="C46" s="2">
        <v>0.1</v>
      </c>
      <c r="D46">
        <v>50</v>
      </c>
      <c r="E46">
        <f t="shared" si="0"/>
        <v>3059.55</v>
      </c>
      <c r="F46">
        <f t="shared" si="1"/>
        <v>305.955</v>
      </c>
      <c r="G46" s="3">
        <f t="shared" si="2"/>
        <v>3415.505</v>
      </c>
    </row>
    <row r="47" spans="1:7" ns3:dyDescent="0.25">
      <c r="A47" t="s">
        <v>476</v>
      </c>
      <c r="B47">
        <v>643.0</v>
      </c>
      <c r="C47" s="2">
        <v>0.1</v>
      </c>
      <c r="D47">
        <v>50</v>
      </c>
      <c r="E47">
        <f t="shared" si="0"/>
        <v>3362.89</v>
      </c>
      <c r="F47">
        <f t="shared" si="1"/>
        <v>336.289</v>
      </c>
      <c r="G47" s="3">
        <f t="shared" si="2"/>
        <v>3749.179</v>
      </c>
    </row>
    <row r="48" spans="1:7" ns3:dyDescent="0.25">
      <c r="A48" t="s">
        <v>377</v>
      </c>
      <c r="B48">
        <v>553.0</v>
      </c>
      <c r="C48" s="2">
        <v>0.1</v>
      </c>
      <c r="D48">
        <v>50</v>
      </c>
      <c r="E48">
        <f t="shared" si="0"/>
        <v>2892.19</v>
      </c>
      <c r="F48">
        <f t="shared" si="1"/>
        <v>289.219</v>
      </c>
      <c r="G48" s="3">
        <f t="shared" si="2"/>
        <v>3231.409</v>
      </c>
    </row>
    <row r="49" spans="1:7" ns3:dyDescent="0.25">
      <c r="A49" t="s">
        <v>378</v>
      </c>
      <c r="B49">
        <v>291.0</v>
      </c>
      <c r="C49" s="2">
        <v>0.1</v>
      </c>
      <c r="D49">
        <v>50</v>
      </c>
      <c r="E49">
        <f t="shared" si="0"/>
        <v>1521.93</v>
      </c>
      <c r="F49">
        <f t="shared" si="1"/>
        <v>152.193</v>
      </c>
      <c r="G49" s="3">
        <f t="shared" si="2"/>
        <v>1724.123</v>
      </c>
    </row>
    <row r="50" spans="1:7" ns3:dyDescent="0.25">
      <c r="A50" t="s">
        <v>746</v>
      </c>
      <c r="B50">
        <v>193.0</v>
      </c>
      <c r="C50" s="2">
        <v>0.1</v>
      </c>
      <c r="D50">
        <v>50</v>
      </c>
      <c r="E50">
        <f t="shared" si="0"/>
        <v>1009.39</v>
      </c>
      <c r="F50">
        <f t="shared" si="1"/>
        <v>100.939</v>
      </c>
      <c r="G50" s="3">
        <f t="shared" si="2"/>
        <v>1160.329</v>
      </c>
    </row>
    <row r="51" spans="1:7" ns3:dyDescent="0.25">
      <c r="A51" t="s">
        <v>747</v>
      </c>
      <c r="B51">
        <v>251.0</v>
      </c>
      <c r="C51" s="2">
        <v>0.1</v>
      </c>
      <c r="D51">
        <v>50</v>
      </c>
      <c r="E51">
        <f t="shared" si="0"/>
        <v>1312.73</v>
      </c>
      <c r="F51">
        <f t="shared" si="1"/>
        <v>131.273</v>
      </c>
      <c r="G51" s="3">
        <f t="shared" si="2"/>
        <v>1494.003</v>
      </c>
    </row>
    <row r="52" spans="1:7" ns3:dyDescent="0.25">
      <c r="A52" t="s">
        <v>748</v>
      </c>
      <c r="B52">
        <v>309.0</v>
      </c>
      <c r="C52" s="2">
        <v>0.1</v>
      </c>
      <c r="D52">
        <v>50</v>
      </c>
      <c r="E52">
        <f t="shared" si="0"/>
        <v>1616.07</v>
      </c>
      <c r="F52">
        <f t="shared" si="1"/>
        <v>161.607</v>
      </c>
      <c r="G52" s="3">
        <f t="shared" si="2"/>
        <v>1827.677</v>
      </c>
    </row>
    <row r="53" spans="1:7" ns3:dyDescent="0.25">
      <c r="A53" t="s">
        <v>749</v>
      </c>
      <c r="B53">
        <v>377.0</v>
      </c>
      <c r="C53" s="2">
        <v>0.1</v>
      </c>
      <c r="D53">
        <v>50</v>
      </c>
      <c r="E53">
        <f t="shared" si="0"/>
        <v>1971.71</v>
      </c>
      <c r="F53">
        <f t="shared" si="1"/>
        <v>197.171</v>
      </c>
      <c r="G53" s="3">
        <f t="shared" si="2"/>
        <v>2218.881</v>
      </c>
    </row>
    <row r="54" spans="1:7" ns3:dyDescent="0.25">
      <c r="A54" t="s">
        <v>750</v>
      </c>
      <c r="B54">
        <v>815.0</v>
      </c>
      <c r="C54" s="2">
        <v>0.1</v>
      </c>
      <c r="D54">
        <v>50</v>
      </c>
      <c r="E54">
        <f t="shared" si="0"/>
        <v>4262.45</v>
      </c>
      <c r="F54">
        <f t="shared" si="1"/>
        <v>426.245</v>
      </c>
      <c r="G54" s="3">
        <f t="shared" si="2"/>
        <v>4738.695</v>
      </c>
    </row>
    <row r="55" spans="1:7" ns3:dyDescent="0.25">
      <c r="A55" t="s">
        <v>751</v>
      </c>
      <c r="B55">
        <v>873.0</v>
      </c>
      <c r="C55" s="2">
        <v>0.1</v>
      </c>
      <c r="D55">
        <v>50</v>
      </c>
      <c r="E55">
        <f t="shared" si="0"/>
        <v>4565.79</v>
      </c>
      <c r="F55">
        <f t="shared" si="1"/>
        <v>456.579</v>
      </c>
      <c r="G55" s="3">
        <f t="shared" si="2"/>
        <v>5072.369</v>
      </c>
    </row>
    <row r="56" spans="1:7" ns3:dyDescent="0.25">
      <c r="A56" t="s">
        <v>422</v>
      </c>
      <c r="B56">
        <v>103.0</v>
      </c>
      <c r="C56" s="2">
        <v>0.1</v>
      </c>
      <c r="D56">
        <v>50</v>
      </c>
      <c r="E56">
        <f t="shared" si="0"/>
        <v>538.69</v>
      </c>
      <c r="F56">
        <f t="shared" si="1"/>
        <v>53.869</v>
      </c>
      <c r="G56" s="3">
        <f t="shared" si="2"/>
        <v>642.559</v>
      </c>
    </row>
    <row r="57" spans="1:7" ns3:dyDescent="0.25">
      <c r="A57" t="s">
        <v>423</v>
      </c>
      <c r="B57">
        <v>219.0</v>
      </c>
      <c r="C57" s="2">
        <v>0.1</v>
      </c>
      <c r="D57">
        <v>50</v>
      </c>
      <c r="E57">
        <f t="shared" si="0"/>
        <v>1145.37</v>
      </c>
      <c r="F57">
        <f t="shared" si="1"/>
        <v>114.537</v>
      </c>
      <c r="G57" s="3">
        <f t="shared" si="2"/>
        <v>1309.907</v>
      </c>
    </row>
    <row r="58" spans="1:7" ns3:dyDescent="0.25">
      <c r="A58" t="s">
        <v>424</v>
      </c>
      <c r="B58">
        <v>287.0</v>
      </c>
      <c r="C58" s="2">
        <v>0.1</v>
      </c>
      <c r="D58">
        <v>50</v>
      </c>
      <c r="E58">
        <f t="shared" si="0"/>
        <v>1501.01</v>
      </c>
      <c r="F58">
        <f t="shared" si="1"/>
        <v>150.101</v>
      </c>
      <c r="G58" s="3">
        <f t="shared" si="2"/>
        <v>1701.111</v>
      </c>
    </row>
    <row r="59" spans="1:7" ns3:dyDescent="0.25">
      <c r="A59" t="s">
        <v>425</v>
      </c>
      <c r="B59">
        <v>161.0</v>
      </c>
      <c r="C59" s="2">
        <v>0.1</v>
      </c>
      <c r="D59">
        <v>50</v>
      </c>
      <c r="E59">
        <f t="shared" si="0"/>
        <v>842.03</v>
      </c>
      <c r="F59">
        <f t="shared" si="1"/>
        <v>84.203</v>
      </c>
      <c r="G59" s="3">
        <f t="shared" si="2"/>
        <v>976.233</v>
      </c>
    </row>
    <row r="60" spans="1:7" ns3:dyDescent="0.25">
      <c r="A60" t="s">
        <v>426</v>
      </c>
      <c r="B60">
        <v>783.0</v>
      </c>
      <c r="C60" s="2">
        <v>0.1</v>
      </c>
      <c r="D60">
        <v>50</v>
      </c>
      <c r="E60">
        <f t="shared" si="0"/>
        <v>4095.09</v>
      </c>
      <c r="F60">
        <f t="shared" si="1"/>
        <v>409.509</v>
      </c>
      <c r="G60" s="3">
        <f t="shared" si="2"/>
        <v>4554.599</v>
      </c>
    </row>
    <row r="61" spans="1:7" ns3:dyDescent="0.25">
      <c r="A61" t="s">
        <v>427</v>
      </c>
      <c r="B61">
        <v>725.0</v>
      </c>
      <c r="C61" s="2">
        <v>0.1</v>
      </c>
      <c r="D61">
        <v>50</v>
      </c>
      <c r="E61">
        <f t="shared" si="0"/>
        <v>3791.75</v>
      </c>
      <c r="F61">
        <f t="shared" si="1"/>
        <v>379.175</v>
      </c>
      <c r="G61" s="3">
        <f t="shared" si="2"/>
        <v>4220.925</v>
      </c>
    </row>
    <row r="62" spans="1:7" ns3:dyDescent="0.25">
      <c r="A62" t="s">
        <v>428</v>
      </c>
      <c r="B62">
        <v>851.0</v>
      </c>
      <c r="C62" s="2">
        <v>0.1</v>
      </c>
      <c r="D62">
        <v>50</v>
      </c>
      <c r="E62">
        <f t="shared" si="0"/>
        <v>4450.73</v>
      </c>
      <c r="F62">
        <f t="shared" si="1"/>
        <v>445.073</v>
      </c>
      <c r="G62" s="3">
        <f t="shared" si="2"/>
        <v>4945.803</v>
      </c>
    </row>
    <row r="63" spans="1:7" ns3:dyDescent="0.25">
      <c r="A63" t="s">
        <v>752</v>
      </c>
      <c r="B63">
        <v>135.0</v>
      </c>
      <c r="C63" s="2">
        <v>0.1</v>
      </c>
      <c r="D63">
        <v>50</v>
      </c>
      <c r="E63">
        <f t="shared" si="0"/>
        <v>706.05</v>
      </c>
      <c r="F63">
        <f t="shared" si="1"/>
        <v>70.605</v>
      </c>
      <c r="G63" s="3">
        <f t="shared" si="2"/>
        <v>826.655</v>
      </c>
    </row>
    <row r="64" spans="1:7" ns3:dyDescent="0.25">
      <c r="A64" t="s">
        <v>907</v>
      </c>
      <c r="B64">
        <v>909.0</v>
      </c>
      <c r="C64" s="2">
        <v>0.1</v>
      </c>
      <c r="D64">
        <v>50</v>
      </c>
      <c r="E64">
        <f t="shared" si="0"/>
        <v>4754.07</v>
      </c>
      <c r="F64">
        <f t="shared" si="1"/>
        <v>475.407</v>
      </c>
      <c r="G64" s="3">
        <f t="shared" si="2"/>
        <v>5279.477</v>
      </c>
    </row>
    <row r="65" spans="1:7" ns3:dyDescent="0.25">
      <c r="A65" s="1" t="s">
        <v>0</v>
      </c>
      <c r="B65" t="s">
        <v>850</v>
      </c>
      <c r="E65" t="e">
        <f t="shared" si="0"/>
        <v>#VALUE!</v>
      </c>
      <c r="F65" t="e">
        <f t="shared" si="1"/>
        <v>#VALUE!</v>
      </c>
      <c r="G65" s="3" t="e">
        <f t="shared" si="2"/>
        <v>#VALUE!</v>
      </c>
    </row>
    <row r="66" spans="1:7" ns3:dyDescent="0.25">
      <c r="A66" t="s">
        <v>379</v>
      </c>
      <c r="B66">
        <v>879.0</v>
      </c>
      <c r="C66" s="2">
        <v>0.15</v>
      </c>
      <c r="D66">
        <v>50</v>
      </c>
      <c r="E66">
        <f t="shared" si="0"/>
        <v>4597.17</v>
      </c>
      <c r="F66">
        <f t="shared" si="1"/>
        <v>689.5755</v>
      </c>
      <c r="G66" s="3">
        <f t="shared" si="2"/>
        <v>5336.7455</v>
      </c>
    </row>
    <row r="67" spans="1:7" ns3:dyDescent="0.25">
      <c r="A67" t="s">
        <v>692</v>
      </c>
      <c r="B67">
        <v>703.0</v>
      </c>
      <c r="C67" s="2">
        <v>0.15</v>
      </c>
      <c r="D67">
        <v>50</v>
      </c>
      <c r="E67">
        <f t="shared" ref="E67:E130" si="3">5.23*B67</f>
        <v>3676.69</v>
      </c>
      <c r="F67">
        <f t="shared" ref="F67:F130" si="4">E67*C67</f>
        <v>551.5035</v>
      </c>
      <c r="G67" s="3">
        <f t="shared" ref="G67:G130" si="5">F67+E67+D67</f>
        <v>4278.1935</v>
      </c>
    </row>
    <row r="68" spans="1:7" ns3:dyDescent="0.25">
      <c r="A68" t="s">
        <v>693</v>
      </c>
      <c r="B68">
        <v>881.0</v>
      </c>
      <c r="C68" s="2">
        <v>0.15</v>
      </c>
      <c r="D68">
        <v>50</v>
      </c>
      <c r="E68">
        <f t="shared" si="3"/>
        <v>4607.63</v>
      </c>
      <c r="F68">
        <f t="shared" si="4"/>
        <v>691.1445</v>
      </c>
      <c r="G68" s="3">
        <f t="shared" si="5"/>
        <v>5348.7745</v>
      </c>
    </row>
    <row r="69" spans="1:7" ns3:dyDescent="0.25">
      <c r="A69" t="s">
        <v>477</v>
      </c>
      <c r="B69">
        <v>409.0</v>
      </c>
      <c r="C69" s="2">
        <v>0.15</v>
      </c>
      <c r="D69">
        <v>50</v>
      </c>
      <c r="E69">
        <f t="shared" si="3"/>
        <v>2139.07</v>
      </c>
      <c r="F69">
        <f t="shared" si="4"/>
        <v>320.8605</v>
      </c>
      <c r="G69" s="3">
        <f t="shared" si="5"/>
        <v>2509.9305</v>
      </c>
    </row>
    <row r="70" spans="1:7" ns3:dyDescent="0.25">
      <c r="A70" t="s">
        <v>478</v>
      </c>
      <c r="B70">
        <v>529.0</v>
      </c>
      <c r="C70" s="2">
        <v>0.15</v>
      </c>
      <c r="D70">
        <v>50</v>
      </c>
      <c r="E70">
        <f t="shared" si="3"/>
        <v>2766.67</v>
      </c>
      <c r="F70">
        <f t="shared" si="4"/>
        <v>415.0005</v>
      </c>
      <c r="G70" s="3">
        <f t="shared" si="5"/>
        <v>3231.6705</v>
      </c>
    </row>
    <row r="71" spans="1:7" ns3:dyDescent="0.25">
      <c r="A71" t="s">
        <v>479</v>
      </c>
      <c r="B71">
        <v>803.0</v>
      </c>
      <c r="C71" s="2">
        <v>0.15</v>
      </c>
      <c r="D71">
        <v>50</v>
      </c>
      <c r="E71">
        <f t="shared" si="3"/>
        <v>4199.69</v>
      </c>
      <c r="F71">
        <f t="shared" si="4"/>
        <v>629.9535</v>
      </c>
      <c r="G71" s="3">
        <f t="shared" si="5"/>
        <v>4879.6435</v>
      </c>
    </row>
    <row r="72" spans="1:7" ns3:dyDescent="0.25">
      <c r="A72" t="s">
        <v>480</v>
      </c>
      <c r="B72">
        <v>351.0</v>
      </c>
      <c r="C72" s="2">
        <v>0.15</v>
      </c>
      <c r="D72">
        <v>50</v>
      </c>
      <c r="E72">
        <f t="shared" si="3"/>
        <v>1835.73</v>
      </c>
      <c r="F72">
        <f t="shared" si="4"/>
        <v>275.3595</v>
      </c>
      <c r="G72" s="3">
        <f t="shared" si="5"/>
        <v>2161.0895</v>
      </c>
    </row>
    <row r="73" spans="1:7" ns3:dyDescent="0.25">
      <c r="A73" t="s">
        <v>728</v>
      </c>
      <c r="B73">
        <v>473.0</v>
      </c>
      <c r="C73" s="2">
        <v>0.15</v>
      </c>
      <c r="D73">
        <v>50</v>
      </c>
      <c r="E73">
        <f t="shared" si="3"/>
        <v>2473.79</v>
      </c>
      <c r="F73">
        <f t="shared" si="4"/>
        <v>371.0685</v>
      </c>
      <c r="G73" s="3">
        <f t="shared" si="5"/>
        <v>2894.8585</v>
      </c>
    </row>
    <row r="74" spans="1:7" ns3:dyDescent="0.25">
      <c r="A74" t="s">
        <v>856</v>
      </c>
      <c r="B74">
        <v>653.0</v>
      </c>
      <c r="C74" s="2">
        <v>0.15</v>
      </c>
      <c r="D74">
        <v>50</v>
      </c>
      <c r="E74">
        <f t="shared" si="3"/>
        <v>3415.19</v>
      </c>
      <c r="F74">
        <f t="shared" si="4"/>
        <v>512.2785</v>
      </c>
      <c r="G74" s="3">
        <f t="shared" si="5"/>
        <v>3977.4685</v>
      </c>
    </row>
    <row r="75" spans="1:7" ns3:dyDescent="0.25">
      <c r="A75" t="s">
        <v>380</v>
      </c>
      <c r="B75">
        <v>711.0</v>
      </c>
      <c r="C75" s="2">
        <v>0.15</v>
      </c>
      <c r="D75">
        <v>50</v>
      </c>
      <c r="E75">
        <f t="shared" si="3"/>
        <v>3718.53</v>
      </c>
      <c r="F75">
        <f t="shared" si="4"/>
        <v>557.7795</v>
      </c>
      <c r="G75" s="3">
        <f t="shared" si="5"/>
        <v>4326.3095</v>
      </c>
    </row>
    <row r="76" spans="1:7" ns3:dyDescent="0.25">
      <c r="A76" t="s">
        <v>381</v>
      </c>
      <c r="B76">
        <v>459.0</v>
      </c>
      <c r="C76" s="2">
        <v>0.15</v>
      </c>
      <c r="D76">
        <v>50</v>
      </c>
      <c r="E76">
        <f t="shared" si="3"/>
        <v>2400.57</v>
      </c>
      <c r="F76">
        <f t="shared" si="4"/>
        <v>360.0855</v>
      </c>
      <c r="G76" s="3">
        <f t="shared" si="5"/>
        <v>2810.6555</v>
      </c>
    </row>
    <row r="77" spans="1:7" ns3:dyDescent="0.25">
      <c r="A77" t="s">
        <v>382</v>
      </c>
      <c r="B77">
        <v>641.0</v>
      </c>
      <c r="C77" s="2">
        <v>0.15</v>
      </c>
      <c r="D77">
        <v>50</v>
      </c>
      <c r="E77">
        <f t="shared" si="3"/>
        <v>3352.43</v>
      </c>
      <c r="F77">
        <f t="shared" si="4"/>
        <v>502.8645</v>
      </c>
      <c r="G77" s="3">
        <f t="shared" si="5"/>
        <v>3905.2945</v>
      </c>
    </row>
    <row r="78" spans="1:7" ns3:dyDescent="0.25">
      <c r="A78" t="s">
        <v>383</v>
      </c>
      <c r="B78">
        <v>699.0</v>
      </c>
      <c r="C78" s="2">
        <v>0.15</v>
      </c>
      <c r="D78">
        <v>50</v>
      </c>
      <c r="E78">
        <f t="shared" si="3"/>
        <v>3655.77</v>
      </c>
      <c r="F78">
        <f t="shared" si="4"/>
        <v>548.3655</v>
      </c>
      <c r="G78" s="3">
        <f t="shared" si="5"/>
        <v>4254.1355</v>
      </c>
    </row>
    <row r="79" spans="1:7" ns3:dyDescent="0.25">
      <c r="A79" t="s">
        <v>384</v>
      </c>
      <c r="B79">
        <v>375.0</v>
      </c>
      <c r="C79" s="2">
        <v>0.15</v>
      </c>
      <c r="D79">
        <v>50</v>
      </c>
      <c r="E79">
        <f t="shared" si="3"/>
        <v>1961.25</v>
      </c>
      <c r="F79">
        <f t="shared" si="4"/>
        <v>294.1875</v>
      </c>
      <c r="G79" s="3">
        <f t="shared" si="5"/>
        <v>2305.4375</v>
      </c>
    </row>
    <row r="80" spans="1:7" ns3:dyDescent="0.25">
      <c r="A80" t="s">
        <v>385</v>
      </c>
      <c r="B80">
        <v>433.0</v>
      </c>
      <c r="C80" s="2">
        <v>0.15</v>
      </c>
      <c r="D80">
        <v>50</v>
      </c>
      <c r="E80">
        <f t="shared" si="3"/>
        <v>2264.59</v>
      </c>
      <c r="F80">
        <f t="shared" si="4"/>
        <v>339.6885</v>
      </c>
      <c r="G80" s="3">
        <f t="shared" si="5"/>
        <v>2654.2785</v>
      </c>
    </row>
    <row r="81" spans="1:7" ns3:dyDescent="0.25">
      <c r="A81" t="s">
        <v>386</v>
      </c>
      <c r="B81">
        <v>613.0</v>
      </c>
      <c r="C81" s="2">
        <v>0.15</v>
      </c>
      <c r="D81">
        <v>50</v>
      </c>
      <c r="E81">
        <f t="shared" si="3"/>
        <v>3205.99</v>
      </c>
      <c r="F81">
        <f t="shared" si="4"/>
        <v>480.8985</v>
      </c>
      <c r="G81" s="3">
        <f t="shared" si="5"/>
        <v>3736.8885</v>
      </c>
    </row>
    <row r="82" spans="1:7" ns3:dyDescent="0.25">
      <c r="A82" t="s">
        <v>387</v>
      </c>
      <c r="B82">
        <v>351.0</v>
      </c>
      <c r="C82" s="2">
        <v>0.15</v>
      </c>
      <c r="D82">
        <v>50</v>
      </c>
      <c r="E82">
        <f t="shared" si="3"/>
        <v>1835.73</v>
      </c>
      <c r="F82">
        <f t="shared" si="4"/>
        <v>275.3595</v>
      </c>
      <c r="G82" s="3">
        <f t="shared" si="5"/>
        <v>2161.0895</v>
      </c>
    </row>
    <row r="83" spans="1:7" ns3:dyDescent="0.25">
      <c r="A83" t="s">
        <v>388</v>
      </c>
      <c r="B83">
        <v>647.0</v>
      </c>
      <c r="C83" s="2">
        <v>0.15</v>
      </c>
      <c r="D83">
        <v>50</v>
      </c>
      <c r="E83">
        <f t="shared" si="3"/>
        <v>3383.81</v>
      </c>
      <c r="F83">
        <f t="shared" si="4"/>
        <v>507.5715</v>
      </c>
      <c r="G83" s="3">
        <f t="shared" si="5"/>
        <v>3941.3815</v>
      </c>
    </row>
    <row r="84" spans="1:7" ns3:dyDescent="0.25">
      <c r="A84" t="s">
        <v>389</v>
      </c>
      <c r="B84">
        <v>637.0</v>
      </c>
      <c r="C84" s="2">
        <v>0.15</v>
      </c>
      <c r="D84">
        <v>50</v>
      </c>
      <c r="E84">
        <f t="shared" si="3"/>
        <v>3331.51</v>
      </c>
      <c r="F84">
        <f t="shared" si="4"/>
        <v>499.7265</v>
      </c>
      <c r="G84" s="3">
        <f t="shared" si="5"/>
        <v>3881.2365</v>
      </c>
    </row>
    <row r="85" spans="1:7" ns3:dyDescent="0.25">
      <c r="A85" t="s">
        <v>390</v>
      </c>
      <c r="B85">
        <v>471.0</v>
      </c>
      <c r="C85" s="2">
        <v>0.15</v>
      </c>
      <c r="D85">
        <v>50</v>
      </c>
      <c r="E85">
        <f t="shared" si="3"/>
        <v>2463.33</v>
      </c>
      <c r="F85">
        <f t="shared" si="4"/>
        <v>369.4995</v>
      </c>
      <c r="G85" s="3">
        <f t="shared" si="5"/>
        <v>2882.8295</v>
      </c>
    </row>
    <row r="86" spans="1:7" ns3:dyDescent="0.25">
      <c r="A86" t="s">
        <v>391</v>
      </c>
      <c r="B86">
        <v>597.0</v>
      </c>
      <c r="C86" s="2">
        <v>0.15</v>
      </c>
      <c r="D86">
        <v>50</v>
      </c>
      <c r="E86">
        <f t="shared" si="3"/>
        <v>3122.31</v>
      </c>
      <c r="F86">
        <f t="shared" si="4"/>
        <v>468.3465</v>
      </c>
      <c r="G86" s="3">
        <f t="shared" si="5"/>
        <v>3640.6565</v>
      </c>
    </row>
    <row r="87" spans="1:7" ns3:dyDescent="0.25">
      <c r="A87" t="s">
        <v>392</v>
      </c>
      <c r="B87">
        <v>519.0</v>
      </c>
      <c r="C87" s="2">
        <v>0.15</v>
      </c>
      <c r="D87">
        <v>50</v>
      </c>
      <c r="E87">
        <f t="shared" si="3"/>
        <v>2714.37</v>
      </c>
      <c r="F87">
        <f t="shared" si="4"/>
        <v>407.1555</v>
      </c>
      <c r="G87" s="3">
        <f t="shared" si="5"/>
        <v>3171.5255</v>
      </c>
    </row>
    <row r="88" spans="1:7" ns3:dyDescent="0.25">
      <c r="A88" t="s">
        <v>393</v>
      </c>
      <c r="B88">
        <v>577.0</v>
      </c>
      <c r="C88" s="2">
        <v>0.15</v>
      </c>
      <c r="D88">
        <v>50</v>
      </c>
      <c r="E88">
        <f t="shared" si="3"/>
        <v>3017.71</v>
      </c>
      <c r="F88">
        <f t="shared" si="4"/>
        <v>452.6565</v>
      </c>
      <c r="G88" s="3">
        <f t="shared" si="5"/>
        <v>3520.3665</v>
      </c>
    </row>
    <row r="89" spans="1:7" ns3:dyDescent="0.25">
      <c r="A89" t="s">
        <v>394</v>
      </c>
      <c r="B89">
        <v>251.0</v>
      </c>
      <c r="C89" s="2">
        <v>0.15</v>
      </c>
      <c r="D89">
        <v>50</v>
      </c>
      <c r="E89">
        <f t="shared" si="3"/>
        <v>1312.73</v>
      </c>
      <c r="F89">
        <f t="shared" si="4"/>
        <v>196.9095</v>
      </c>
      <c r="G89" s="3">
        <f t="shared" si="5"/>
        <v>1559.6395</v>
      </c>
    </row>
    <row r="90" spans="1:7" ns3:dyDescent="0.25">
      <c r="A90" t="s">
        <v>395</v>
      </c>
      <c r="B90">
        <v>55.0</v>
      </c>
      <c r="C90" s="2">
        <v>0.15</v>
      </c>
      <c r="D90">
        <v>50</v>
      </c>
      <c r="E90">
        <f t="shared" si="3"/>
        <v>287.65</v>
      </c>
      <c r="F90">
        <f t="shared" si="4"/>
        <v>43.1475</v>
      </c>
      <c r="G90" s="3">
        <f t="shared" si="5"/>
        <v>380.7975</v>
      </c>
    </row>
    <row r="91" spans="1:7" ns3:dyDescent="0.25">
      <c r="A91" t="s">
        <v>481</v>
      </c>
      <c r="B91">
        <v>573.0</v>
      </c>
      <c r="C91" s="2">
        <v>0.15</v>
      </c>
      <c r="D91">
        <v>50</v>
      </c>
      <c r="E91">
        <f t="shared" si="3"/>
        <v>2996.79</v>
      </c>
      <c r="F91">
        <f t="shared" si="4"/>
        <v>449.5185</v>
      </c>
      <c r="G91" s="3">
        <f t="shared" si="5"/>
        <v>3496.3085</v>
      </c>
    </row>
    <row r="92" spans="1:7" ns3:dyDescent="0.25">
      <c r="A92" t="s">
        <v>613</v>
      </c>
      <c r="B92">
        <v>437.0</v>
      </c>
      <c r="C92" s="2">
        <v>0.15</v>
      </c>
      <c r="D92">
        <v>50</v>
      </c>
      <c r="E92">
        <f t="shared" si="3"/>
        <v>2285.51</v>
      </c>
      <c r="F92">
        <f t="shared" si="4"/>
        <v>342.8265</v>
      </c>
      <c r="G92" s="3">
        <f t="shared" si="5"/>
        <v>2678.3365</v>
      </c>
    </row>
    <row r="93" spans="1:7" ns3:dyDescent="0.25">
      <c r="A93" t="s">
        <v>396</v>
      </c>
      <c r="B93">
        <v>641.0</v>
      </c>
      <c r="C93" s="2">
        <v>0.15</v>
      </c>
      <c r="D93">
        <v>50</v>
      </c>
      <c r="E93">
        <f t="shared" si="3"/>
        <v>3352.43</v>
      </c>
      <c r="F93">
        <f t="shared" si="4"/>
        <v>502.8645</v>
      </c>
      <c r="G93" s="3">
        <f t="shared" si="5"/>
        <v>3905.2945</v>
      </c>
    </row>
    <row r="94" spans="1:7" ns3:dyDescent="0.25">
      <c r="A94" t="s">
        <v>614</v>
      </c>
      <c r="B94">
        <v>303.0</v>
      </c>
      <c r="C94" s="2">
        <v>0.15</v>
      </c>
      <c r="D94">
        <v>50</v>
      </c>
      <c r="E94">
        <f t="shared" si="3"/>
        <v>1584.69</v>
      </c>
      <c r="F94">
        <f t="shared" si="4"/>
        <v>237.7035</v>
      </c>
      <c r="G94" s="3">
        <f t="shared" si="5"/>
        <v>1872.3935</v>
      </c>
    </row>
    <row r="95" spans="1:7" ns3:dyDescent="0.25">
      <c r="A95" t="s">
        <v>615</v>
      </c>
      <c r="B95">
        <v>245.0</v>
      </c>
      <c r="C95" s="2">
        <v>0.15</v>
      </c>
      <c r="D95">
        <v>50</v>
      </c>
      <c r="E95">
        <f t="shared" si="3"/>
        <v>1281.35</v>
      </c>
      <c r="F95">
        <f t="shared" si="4"/>
        <v>192.2025</v>
      </c>
      <c r="G95" s="3">
        <f t="shared" si="5"/>
        <v>1523.5525</v>
      </c>
    </row>
    <row r="96" spans="1:7" ns3:dyDescent="0.25">
      <c r="A96" t="s">
        <v>616</v>
      </c>
      <c r="B96">
        <v>181.0</v>
      </c>
      <c r="C96" s="2">
        <v>0.15</v>
      </c>
      <c r="D96">
        <v>50</v>
      </c>
      <c r="E96">
        <f t="shared" si="3"/>
        <v>946.63</v>
      </c>
      <c r="F96">
        <f t="shared" si="4"/>
        <v>141.9945</v>
      </c>
      <c r="G96" s="3">
        <f t="shared" si="5"/>
        <v>1138.6245</v>
      </c>
    </row>
    <row r="97" spans="1:7" ns3:dyDescent="0.25">
      <c r="A97" t="s">
        <v>617</v>
      </c>
      <c r="B97">
        <v>239.0</v>
      </c>
      <c r="C97" s="2">
        <v>0.15</v>
      </c>
      <c r="D97">
        <v>50</v>
      </c>
      <c r="E97">
        <f t="shared" si="3"/>
        <v>1249.97</v>
      </c>
      <c r="F97">
        <f t="shared" si="4"/>
        <v>187.4955</v>
      </c>
      <c r="G97" s="3">
        <f t="shared" si="5"/>
        <v>1487.4655</v>
      </c>
    </row>
    <row r="98" spans="1:7" ns3:dyDescent="0.25">
      <c r="A98" t="s">
        <v>618</v>
      </c>
      <c r="B98">
        <v>307.0</v>
      </c>
      <c r="C98" s="2">
        <v>0.15</v>
      </c>
      <c r="D98">
        <v>50</v>
      </c>
      <c r="E98">
        <f t="shared" si="3"/>
        <v>1605.61</v>
      </c>
      <c r="F98">
        <f t="shared" si="4"/>
        <v>240.8415</v>
      </c>
      <c r="G98" s="3">
        <f t="shared" si="5"/>
        <v>1896.4515</v>
      </c>
    </row>
    <row r="99" spans="1:7" ns3:dyDescent="0.25">
      <c r="A99" t="s">
        <v>397</v>
      </c>
      <c r="B99">
        <v>757.0</v>
      </c>
      <c r="C99" s="2">
        <v>0.15</v>
      </c>
      <c r="D99">
        <v>50</v>
      </c>
      <c r="E99">
        <f t="shared" si="3"/>
        <v>3959.11</v>
      </c>
      <c r="F99">
        <f t="shared" si="4"/>
        <v>593.8665</v>
      </c>
      <c r="G99" s="3">
        <f t="shared" si="5"/>
        <v>4602.9765</v>
      </c>
    </row>
    <row r="100" spans="1:7" ns3:dyDescent="0.25">
      <c r="A100" t="s">
        <v>398</v>
      </c>
      <c r="B100">
        <v>673.0</v>
      </c>
      <c r="C100" s="2">
        <v>0.15</v>
      </c>
      <c r="D100">
        <v>50</v>
      </c>
      <c r="E100">
        <f t="shared" si="3"/>
        <v>3519.79</v>
      </c>
      <c r="F100">
        <f t="shared" si="4"/>
        <v>527.9685</v>
      </c>
      <c r="G100" s="3">
        <f t="shared" si="5"/>
        <v>4097.7585</v>
      </c>
    </row>
    <row r="101" spans="1:7" ns3:dyDescent="0.25">
      <c r="A101" t="s">
        <v>399</v>
      </c>
      <c r="B101">
        <v>699.0</v>
      </c>
      <c r="C101" s="2">
        <v>0.15</v>
      </c>
      <c r="D101">
        <v>50</v>
      </c>
      <c r="E101">
        <f t="shared" si="3"/>
        <v>3655.77</v>
      </c>
      <c r="F101">
        <f t="shared" si="4"/>
        <v>548.3655</v>
      </c>
      <c r="G101" s="3">
        <f t="shared" si="5"/>
        <v>4254.1355</v>
      </c>
    </row>
    <row r="102" spans="1:7" ns3:dyDescent="0.25">
      <c r="A102" t="s">
        <v>694</v>
      </c>
      <c r="B102">
        <v>849.0</v>
      </c>
      <c r="C102" s="2">
        <v>0.15</v>
      </c>
      <c r="D102">
        <v>50</v>
      </c>
      <c r="E102">
        <f t="shared" si="3"/>
        <v>4440.27</v>
      </c>
      <c r="F102">
        <f t="shared" si="4"/>
        <v>666.0405</v>
      </c>
      <c r="G102" s="3">
        <f t="shared" si="5"/>
        <v>5156.3105</v>
      </c>
    </row>
    <row r="103" spans="1:7" ns3:dyDescent="0.25">
      <c r="A103" t="s">
        <v>400</v>
      </c>
      <c r="B103">
        <v>205.0</v>
      </c>
      <c r="C103" s="2">
        <v>0.15</v>
      </c>
      <c r="D103">
        <v>50</v>
      </c>
      <c r="E103">
        <f t="shared" si="3"/>
        <v>1072.15</v>
      </c>
      <c r="F103">
        <f t="shared" si="4"/>
        <v>160.8225</v>
      </c>
      <c r="G103" s="3">
        <f t="shared" si="5"/>
        <v>1282.9725</v>
      </c>
    </row>
    <row r="104" spans="1:7" ns3:dyDescent="0.25">
      <c r="A104" t="s">
        <v>401</v>
      </c>
      <c r="B104">
        <v>705.0</v>
      </c>
      <c r="C104" s="2">
        <v>0.15</v>
      </c>
      <c r="D104">
        <v>50</v>
      </c>
      <c r="E104">
        <f t="shared" si="3"/>
        <v>3687.15</v>
      </c>
      <c r="F104">
        <f t="shared" si="4"/>
        <v>553.0725</v>
      </c>
      <c r="G104" s="3">
        <f t="shared" si="5"/>
        <v>4290.2225</v>
      </c>
    </row>
    <row r="105" spans="1:7" ns3:dyDescent="0.25">
      <c r="A105" t="s">
        <v>402</v>
      </c>
      <c r="B105">
        <v>273.0</v>
      </c>
      <c r="C105" s="2">
        <v>0.15</v>
      </c>
      <c r="D105">
        <v>50</v>
      </c>
      <c r="E105">
        <f t="shared" si="3"/>
        <v>1427.79</v>
      </c>
      <c r="F105">
        <f t="shared" si="4"/>
        <v>214.1685</v>
      </c>
      <c r="G105" s="3">
        <f t="shared" si="5"/>
        <v>1691.9585</v>
      </c>
    </row>
    <row r="106" spans="1:7" ns3:dyDescent="0.25">
      <c r="A106" t="s">
        <v>403</v>
      </c>
      <c r="B106">
        <v>769.0</v>
      </c>
      <c r="C106" s="2">
        <v>0.15</v>
      </c>
      <c r="D106">
        <v>50</v>
      </c>
      <c r="E106">
        <f t="shared" si="3"/>
        <v>4021.87</v>
      </c>
      <c r="F106">
        <f t="shared" si="4"/>
        <v>603.2805</v>
      </c>
      <c r="G106" s="3">
        <f t="shared" si="5"/>
        <v>4675.1505</v>
      </c>
    </row>
    <row r="107" spans="1:7" ns3:dyDescent="0.25">
      <c r="A107" t="s">
        <v>404</v>
      </c>
      <c r="B107">
        <v>473.0</v>
      </c>
      <c r="C107" s="2">
        <v>0.15</v>
      </c>
      <c r="D107">
        <v>50</v>
      </c>
      <c r="E107">
        <f t="shared" si="3"/>
        <v>2473.79</v>
      </c>
      <c r="F107">
        <f t="shared" si="4"/>
        <v>371.0685</v>
      </c>
      <c r="G107" s="3">
        <f t="shared" si="5"/>
        <v>2894.8585</v>
      </c>
    </row>
    <row r="108" spans="1:7" ns3:dyDescent="0.25">
      <c r="A108" t="s">
        <v>405</v>
      </c>
      <c r="B108">
        <v>531.0</v>
      </c>
      <c r="C108" s="2">
        <v>0.15</v>
      </c>
      <c r="D108">
        <v>50</v>
      </c>
      <c r="E108">
        <f t="shared" si="3"/>
        <v>2777.13</v>
      </c>
      <c r="F108">
        <f t="shared" si="4"/>
        <v>416.5695</v>
      </c>
      <c r="G108" s="3">
        <f t="shared" si="5"/>
        <v>3243.6995</v>
      </c>
    </row>
    <row r="109" spans="1:7" ns3:dyDescent="0.25">
      <c r="A109" t="s">
        <v>406</v>
      </c>
      <c r="B109">
        <v>129.0</v>
      </c>
      <c r="C109" s="2">
        <v>0.15</v>
      </c>
      <c r="D109">
        <v>50</v>
      </c>
      <c r="E109">
        <f t="shared" si="3"/>
        <v>674.67</v>
      </c>
      <c r="F109">
        <f t="shared" si="4"/>
        <v>101.2005</v>
      </c>
      <c r="G109" s="3">
        <f t="shared" si="5"/>
        <v>825.8705</v>
      </c>
    </row>
    <row r="110" spans="1:7" ns3:dyDescent="0.25">
      <c r="A110" t="s">
        <v>407</v>
      </c>
      <c r="B110">
        <v>197.0</v>
      </c>
      <c r="C110" s="2">
        <v>0.15</v>
      </c>
      <c r="D110">
        <v>50</v>
      </c>
      <c r="E110">
        <f t="shared" si="3"/>
        <v>1030.31</v>
      </c>
      <c r="F110">
        <f t="shared" si="4"/>
        <v>154.5465</v>
      </c>
      <c r="G110" s="3">
        <f t="shared" si="5"/>
        <v>1234.8565</v>
      </c>
    </row>
    <row r="111" spans="1:7" ns3:dyDescent="0.25">
      <c r="A111" t="s">
        <v>408</v>
      </c>
      <c r="B111">
        <v>255.0</v>
      </c>
      <c r="C111" s="2">
        <v>0.15</v>
      </c>
      <c r="D111">
        <v>50</v>
      </c>
      <c r="E111">
        <f t="shared" si="3"/>
        <v>1333.65</v>
      </c>
      <c r="F111">
        <f t="shared" si="4"/>
        <v>200.0475</v>
      </c>
      <c r="G111" s="3">
        <f t="shared" si="5"/>
        <v>1583.6975</v>
      </c>
    </row>
    <row r="112" spans="1:7" ns3:dyDescent="0.25">
      <c r="A112" t="s">
        <v>409</v>
      </c>
      <c r="B112">
        <v>479.0</v>
      </c>
      <c r="C112" s="2">
        <v>0.15</v>
      </c>
      <c r="D112">
        <v>50</v>
      </c>
      <c r="E112">
        <f t="shared" si="3"/>
        <v>2505.17</v>
      </c>
      <c r="F112">
        <f t="shared" si="4"/>
        <v>375.7755</v>
      </c>
      <c r="G112" s="3">
        <f t="shared" si="5"/>
        <v>2930.9455</v>
      </c>
    </row>
    <row r="113" spans="1:7" ns3:dyDescent="0.25">
      <c r="A113" t="s">
        <v>410</v>
      </c>
      <c r="B113">
        <v>491.0</v>
      </c>
      <c r="C113" s="2">
        <v>0.15</v>
      </c>
      <c r="D113">
        <v>50</v>
      </c>
      <c r="E113">
        <f t="shared" si="3"/>
        <v>2567.93</v>
      </c>
      <c r="F113">
        <f t="shared" si="4"/>
        <v>385.1895</v>
      </c>
      <c r="G113" s="3">
        <f t="shared" si="5"/>
        <v>3003.1195</v>
      </c>
    </row>
    <row r="114" spans="1:7" ns3:dyDescent="0.25">
      <c r="A114" t="s">
        <v>411</v>
      </c>
      <c r="B114">
        <v>117.0</v>
      </c>
      <c r="C114" s="2">
        <v>0.15</v>
      </c>
      <c r="D114">
        <v>50</v>
      </c>
      <c r="E114">
        <f t="shared" si="3"/>
        <v>611.91</v>
      </c>
      <c r="F114">
        <f t="shared" si="4"/>
        <v>91.7865</v>
      </c>
      <c r="G114" s="3">
        <f t="shared" si="5"/>
        <v>753.6965</v>
      </c>
    </row>
    <row r="115" spans="1:7" ns3:dyDescent="0.25">
      <c r="A115" t="s">
        <v>412</v>
      </c>
      <c r="B115">
        <v>667.0</v>
      </c>
      <c r="C115" s="2">
        <v>0.15</v>
      </c>
      <c r="D115">
        <v>50</v>
      </c>
      <c r="E115">
        <f t="shared" si="3"/>
        <v>3488.41</v>
      </c>
      <c r="F115">
        <f t="shared" si="4"/>
        <v>523.2615</v>
      </c>
      <c r="G115" s="3">
        <f t="shared" si="5"/>
        <v>4061.6715</v>
      </c>
    </row>
    <row r="116" spans="1:7" ns3:dyDescent="0.25">
      <c r="A116" t="s">
        <v>761</v>
      </c>
      <c r="B116">
        <v>161.0</v>
      </c>
      <c r="C116" s="2">
        <v>0.15</v>
      </c>
      <c r="D116">
        <v>50</v>
      </c>
      <c r="E116">
        <f t="shared" si="3"/>
        <v>842.03</v>
      </c>
      <c r="F116">
        <f t="shared" si="4"/>
        <v>126.3045</v>
      </c>
      <c r="G116" s="3">
        <f t="shared" si="5"/>
        <v>1018.3345</v>
      </c>
    </row>
    <row r="117" spans="1:7" ns3:dyDescent="0.25">
      <c r="A117" t="s">
        <v>482</v>
      </c>
      <c r="B117">
        <v>193.0</v>
      </c>
      <c r="C117" s="2">
        <v>0.15</v>
      </c>
      <c r="D117">
        <v>50</v>
      </c>
      <c r="E117">
        <f t="shared" si="3"/>
        <v>1009.39</v>
      </c>
      <c r="F117">
        <f t="shared" si="4"/>
        <v>151.4085</v>
      </c>
      <c r="G117" s="3">
        <f t="shared" si="5"/>
        <v>1210.7985</v>
      </c>
    </row>
    <row r="118" spans="1:7" ns3:dyDescent="0.25">
      <c r="A118" t="s">
        <v>483</v>
      </c>
      <c r="B118">
        <v>823.0</v>
      </c>
      <c r="C118" s="2">
        <v>0.15</v>
      </c>
      <c r="D118">
        <v>50</v>
      </c>
      <c r="E118">
        <f t="shared" si="3"/>
        <v>4304.29</v>
      </c>
      <c r="F118">
        <f t="shared" si="4"/>
        <v>645.6435</v>
      </c>
      <c r="G118" s="3">
        <f t="shared" si="5"/>
        <v>4999.9335</v>
      </c>
    </row>
    <row r="119" spans="1:7" ns3:dyDescent="0.25">
      <c r="A119" t="s">
        <v>729</v>
      </c>
      <c r="B119">
        <v>913.0</v>
      </c>
      <c r="C119" s="2">
        <v>0.15</v>
      </c>
      <c r="D119">
        <v>50</v>
      </c>
      <c r="E119">
        <f t="shared" si="3"/>
        <v>4774.99</v>
      </c>
      <c r="F119">
        <f t="shared" si="4"/>
        <v>716.2485</v>
      </c>
      <c r="G119" s="3">
        <f t="shared" si="5"/>
        <v>5541.2385</v>
      </c>
    </row>
    <row r="120" spans="1:7" ns3:dyDescent="0.25">
      <c r="A120" t="s">
        <v>413</v>
      </c>
      <c r="B120">
        <v>837.0</v>
      </c>
      <c r="C120" s="2">
        <v>0.15</v>
      </c>
      <c r="D120">
        <v>50</v>
      </c>
      <c r="E120">
        <f t="shared" si="3"/>
        <v>4377.51</v>
      </c>
      <c r="F120">
        <f t="shared" si="4"/>
        <v>656.6265</v>
      </c>
      <c r="G120" s="3">
        <f t="shared" si="5"/>
        <v>5084.1365</v>
      </c>
    </row>
    <row r="121" spans="1:7" ns3:dyDescent="0.25">
      <c r="A121" t="s">
        <v>414</v>
      </c>
      <c r="B121">
        <v>171.0</v>
      </c>
      <c r="C121" s="2">
        <v>0.15</v>
      </c>
      <c r="D121">
        <v>50</v>
      </c>
      <c r="E121">
        <f t="shared" si="3"/>
        <v>894.33</v>
      </c>
      <c r="F121">
        <f t="shared" si="4"/>
        <v>134.1495</v>
      </c>
      <c r="G121" s="3">
        <f t="shared" si="5"/>
        <v>1078.4795</v>
      </c>
    </row>
    <row r="122" spans="1:7" ns3:dyDescent="0.25">
      <c r="A122" t="s">
        <v>415</v>
      </c>
      <c r="B122">
        <v>425.0</v>
      </c>
      <c r="C122" s="2">
        <v>0.15</v>
      </c>
      <c r="D122">
        <v>50</v>
      </c>
      <c r="E122">
        <f t="shared" si="3"/>
        <v>2222.75</v>
      </c>
      <c r="F122">
        <f t="shared" si="4"/>
        <v>333.4125</v>
      </c>
      <c r="G122" s="3">
        <f t="shared" si="5"/>
        <v>2606.1625</v>
      </c>
    </row>
    <row r="123" spans="1:7" ns3:dyDescent="0.25">
      <c r="A123" t="s">
        <v>416</v>
      </c>
      <c r="B123">
        <v>53.0</v>
      </c>
      <c r="C123" s="2">
        <v>0.15</v>
      </c>
      <c r="D123">
        <v>50</v>
      </c>
      <c r="E123">
        <f t="shared" si="3"/>
        <v>277.19</v>
      </c>
      <c r="F123">
        <f t="shared" si="4"/>
        <v>41.5785</v>
      </c>
      <c r="G123" s="3">
        <f t="shared" si="5"/>
        <v>368.7685</v>
      </c>
    </row>
    <row r="124" spans="1:7" ns3:dyDescent="0.25">
      <c r="A124" t="s">
        <v>762</v>
      </c>
      <c r="B124">
        <v>895.0</v>
      </c>
      <c r="C124" s="2">
        <v>0.15</v>
      </c>
      <c r="D124">
        <v>50</v>
      </c>
      <c r="E124">
        <f t="shared" si="3"/>
        <v>4680.85</v>
      </c>
      <c r="F124">
        <f t="shared" si="4"/>
        <v>702.1275</v>
      </c>
      <c r="G124" s="3">
        <f t="shared" si="5"/>
        <v>5432.9775</v>
      </c>
    </row>
    <row r="125" spans="1:7" ns3:dyDescent="0.25">
      <c r="A125" t="s">
        <v>730</v>
      </c>
      <c r="B125">
        <v>879.0</v>
      </c>
      <c r="C125" s="2">
        <v>0.15</v>
      </c>
      <c r="D125">
        <v>50</v>
      </c>
      <c r="E125">
        <f t="shared" si="3"/>
        <v>4597.17</v>
      </c>
      <c r="F125">
        <f t="shared" si="4"/>
        <v>689.5755</v>
      </c>
      <c r="G125" s="3">
        <f t="shared" si="5"/>
        <v>5336.7455</v>
      </c>
    </row>
    <row r="126" spans="1:7" ns3:dyDescent="0.25">
      <c r="A126" t="s">
        <v>731</v>
      </c>
      <c r="B126">
        <v>835.0</v>
      </c>
      <c r="C126" s="2">
        <v>0.15</v>
      </c>
      <c r="D126">
        <v>50</v>
      </c>
      <c r="E126">
        <f t="shared" si="3"/>
        <v>4367.05</v>
      </c>
      <c r="F126">
        <f t="shared" si="4"/>
        <v>655.0575</v>
      </c>
      <c r="G126" s="3">
        <f t="shared" si="5"/>
        <v>5072.1075</v>
      </c>
    </row>
    <row r="127" spans="1:7" ns3:dyDescent="0.25">
      <c r="A127" t="s">
        <v>732</v>
      </c>
      <c r="B127">
        <v>765.0</v>
      </c>
      <c r="C127" s="2">
        <v>0.15</v>
      </c>
      <c r="D127">
        <v>50</v>
      </c>
      <c r="E127">
        <f t="shared" si="3"/>
        <v>4000.95</v>
      </c>
      <c r="F127">
        <f t="shared" si="4"/>
        <v>600.1425</v>
      </c>
      <c r="G127" s="3">
        <f t="shared" si="5"/>
        <v>4651.0925</v>
      </c>
    </row>
    <row r="128" spans="1:7" ns3:dyDescent="0.25">
      <c r="A128" t="s">
        <v>417</v>
      </c>
      <c r="B128">
        <v>135.0</v>
      </c>
      <c r="C128" s="2">
        <v>0.15</v>
      </c>
      <c r="D128">
        <v>50</v>
      </c>
      <c r="E128">
        <f t="shared" si="3"/>
        <v>706.05</v>
      </c>
      <c r="F128">
        <f t="shared" si="4"/>
        <v>105.9075</v>
      </c>
      <c r="G128" s="3">
        <f t="shared" si="5"/>
        <v>861.9575</v>
      </c>
    </row>
    <row r="129" spans="1:7" ns3:dyDescent="0.25">
      <c r="A129" t="s">
        <v>653</v>
      </c>
      <c r="B129">
        <v>851.0</v>
      </c>
      <c r="C129" s="2">
        <v>0.15</v>
      </c>
      <c r="D129">
        <v>50</v>
      </c>
      <c r="E129">
        <f t="shared" si="3"/>
        <v>4450.73</v>
      </c>
      <c r="F129">
        <f t="shared" si="4"/>
        <v>667.6095</v>
      </c>
      <c r="G129" s="3">
        <f t="shared" si="5"/>
        <v>5168.3395</v>
      </c>
    </row>
    <row r="130" spans="1:7" ns3:dyDescent="0.25">
      <c r="A130" t="s">
        <v>418</v>
      </c>
      <c r="B130">
        <v>67.0</v>
      </c>
      <c r="C130" s="2">
        <v>0.15</v>
      </c>
      <c r="D130">
        <v>50</v>
      </c>
      <c r="E130">
        <f t="shared" si="3"/>
        <v>350.41</v>
      </c>
      <c r="F130">
        <f t="shared" si="4"/>
        <v>52.5615</v>
      </c>
      <c r="G130" s="3">
        <f t="shared" si="5"/>
        <v>452.9715</v>
      </c>
    </row>
    <row r="131" spans="1:7" ns3:dyDescent="0.25">
      <c r="A131" t="s">
        <v>419</v>
      </c>
      <c r="B131">
        <v>575.0</v>
      </c>
      <c r="C131" s="2">
        <v>0.15</v>
      </c>
      <c r="D131">
        <v>50</v>
      </c>
      <c r="E131">
        <f t="shared" ref="E131:E133" si="6">5.23*B131</f>
        <v>3007.25</v>
      </c>
      <c r="F131">
        <f t="shared" ref="F131:F133" si="7">E131*C131</f>
        <v>451.0875</v>
      </c>
      <c r="G131" s="3">
        <f t="shared" ref="G131:G133" si="8">F131+E131+D131</f>
        <v>3508.3375</v>
      </c>
    </row>
    <row r="132" spans="1:7" ns3:dyDescent="0.25">
      <c r="A132" t="s">
        <v>420</v>
      </c>
      <c r="B132">
        <v>633.0</v>
      </c>
      <c r="C132" s="2">
        <v>0.15</v>
      </c>
      <c r="D132">
        <v>50</v>
      </c>
      <c r="E132">
        <f t="shared" si="6"/>
        <v>3310.59</v>
      </c>
      <c r="F132">
        <f t="shared" si="7"/>
        <v>496.5885</v>
      </c>
      <c r="G132" s="3">
        <f t="shared" si="8"/>
        <v>3857.1785</v>
      </c>
    </row>
    <row r="133" spans="1:7" ns3:dyDescent="0.25">
      <c r="A133" t="s">
        <v>908</v>
      </c>
      <c r="B133">
        <v>593.0</v>
      </c>
      <c r="C133" s="2">
        <v>0.15</v>
      </c>
      <c r="D133">
        <v>50</v>
      </c>
      <c r="E133">
        <f t="shared" si="6"/>
        <v>3101.39</v>
      </c>
      <c r="F133">
        <f t="shared" si="7"/>
        <v>465.2085</v>
      </c>
      <c r="G133" s="3">
        <f t="shared" si="8"/>
        <v>3616.5985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ns4:id="rId1"/>
  <tableParts count="1">
    <tablePart ns4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APPLE LACRADO 25-08</vt:lpstr>
      <vt:lpstr>XIAOMI E REALME 25-08</vt:lpstr>
      <vt:lpstr>SEMI NOVOS 25-08</vt:lpstr>
      <vt:lpstr>SAMSUNG E MOTOROLA 25-08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Ferreira</dc:creator>
  <cp:lastModifiedBy>Gustavo Ferreira</cp:lastModifiedBy>
  <cp:lastPrinted>2026-08-24T14:53:59Z</cp:lastPrinted>
  <dcterms:created xsi:type="dcterms:W3CDTF">2025-11-18T12:08:06Z</dcterms:created>
  <dcterms:modified xsi:type="dcterms:W3CDTF">2026-08-25T12:22:09Z</dcterms:modified>
</cp:coreProperties>
</file>